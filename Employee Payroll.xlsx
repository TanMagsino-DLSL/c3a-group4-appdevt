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APPDEVT-UIPATH\appdevt-finals\Payroll_Email_Automation\"/>
    </mc:Choice>
  </mc:AlternateContent>
  <xr:revisionPtr revIDLastSave="0" documentId="13_ncr:1_{B1C79A33-1BFD-4CD9-BDB4-51E0D512B97C}" xr6:coauthVersionLast="47" xr6:coauthVersionMax="47" xr10:uidLastSave="{00000000-0000-0000-0000-000000000000}"/>
  <bookViews>
    <workbookView xWindow="1140" yWindow="1140" windowWidth="19200" windowHeight="11170" tabRatio="500" xr2:uid="{00000000-000D-0000-FFFF-FFFF00000000}"/>
  </bookViews>
  <sheets>
    <sheet name="Reference Rates" sheetId="1" r:id="rId1"/>
    <sheet name="Aug 2026" sheetId="2" r:id="rId2"/>
    <sheet name="Sep 2026" sheetId="3" r:id="rId3"/>
    <sheet name="Oct 2026" sheetId="4" r:id="rId4"/>
    <sheet name="3-Month Summary" sheetId="5" r:id="rId5"/>
  </sheets>
  <definedNames>
    <definedName name="_xlnm.Print_Area" localSheetId="4">'3-Month Summary'!$A$1:$K$44</definedName>
    <definedName name="_xlnm.Print_Area" localSheetId="1">'Aug 2026'!$A$1:$W$38</definedName>
    <definedName name="_xlnm.Print_Area" localSheetId="3">'Oct 2026'!$A$1:$W$38</definedName>
    <definedName name="_xlnm.Print_Area" localSheetId="2">'Sep 2026'!$A$1:$W$38</definedName>
    <definedName name="_xlnm.Print_Titles" localSheetId="1">'Aug 2026'!$5:$5</definedName>
    <definedName name="_xlnm.Print_Titles" localSheetId="3">'Oct 2026'!$5:$5</definedName>
    <definedName name="_xlnm.Print_Titles" localSheetId="2">'Sep 2026'!$5:$5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5" l="1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C5" i="5"/>
  <c r="B5" i="5"/>
  <c r="A5" i="5"/>
  <c r="I36" i="4"/>
  <c r="H36" i="4"/>
  <c r="G36" i="4"/>
  <c r="M35" i="4"/>
  <c r="F35" i="4"/>
  <c r="E35" i="4"/>
  <c r="D35" i="4"/>
  <c r="C35" i="4"/>
  <c r="N35" i="4" s="1"/>
  <c r="B35" i="4"/>
  <c r="A35" i="4"/>
  <c r="M34" i="4"/>
  <c r="F34" i="4"/>
  <c r="E34" i="4"/>
  <c r="D34" i="4"/>
  <c r="C34" i="4"/>
  <c r="N34" i="4" s="1"/>
  <c r="B34" i="4"/>
  <c r="A34" i="4"/>
  <c r="M33" i="4"/>
  <c r="F33" i="4"/>
  <c r="E33" i="4"/>
  <c r="D33" i="4"/>
  <c r="C33" i="4"/>
  <c r="N33" i="4" s="1"/>
  <c r="B33" i="4"/>
  <c r="A33" i="4"/>
  <c r="M32" i="4"/>
  <c r="F32" i="4"/>
  <c r="E32" i="4"/>
  <c r="D32" i="4"/>
  <c r="C32" i="4"/>
  <c r="N32" i="4" s="1"/>
  <c r="B32" i="4"/>
  <c r="A32" i="4"/>
  <c r="M31" i="4"/>
  <c r="F31" i="4"/>
  <c r="E31" i="4"/>
  <c r="D31" i="4"/>
  <c r="C31" i="4"/>
  <c r="N31" i="4" s="1"/>
  <c r="B31" i="4"/>
  <c r="A31" i="4"/>
  <c r="M30" i="4"/>
  <c r="F30" i="4"/>
  <c r="E30" i="4"/>
  <c r="D30" i="4"/>
  <c r="C30" i="4"/>
  <c r="N30" i="4" s="1"/>
  <c r="B30" i="4"/>
  <c r="A30" i="4"/>
  <c r="M29" i="4"/>
  <c r="F29" i="4"/>
  <c r="E29" i="4"/>
  <c r="D29" i="4"/>
  <c r="C29" i="4"/>
  <c r="N29" i="4" s="1"/>
  <c r="B29" i="4"/>
  <c r="A29" i="4"/>
  <c r="M28" i="4"/>
  <c r="F28" i="4"/>
  <c r="E28" i="4"/>
  <c r="D28" i="4"/>
  <c r="C28" i="4"/>
  <c r="N28" i="4" s="1"/>
  <c r="B28" i="4"/>
  <c r="A28" i="4"/>
  <c r="M27" i="4"/>
  <c r="F27" i="4"/>
  <c r="E27" i="4"/>
  <c r="D27" i="4"/>
  <c r="C27" i="4"/>
  <c r="N27" i="4" s="1"/>
  <c r="B27" i="4"/>
  <c r="A27" i="4"/>
  <c r="M26" i="4"/>
  <c r="F26" i="4"/>
  <c r="E26" i="4"/>
  <c r="D26" i="4"/>
  <c r="C26" i="4"/>
  <c r="N26" i="4" s="1"/>
  <c r="B26" i="4"/>
  <c r="A26" i="4"/>
  <c r="M25" i="4"/>
  <c r="E25" i="4"/>
  <c r="T25" i="4" s="1"/>
  <c r="U25" i="4" s="1"/>
  <c r="D25" i="4"/>
  <c r="C25" i="4"/>
  <c r="N25" i="4" s="1"/>
  <c r="B25" i="4"/>
  <c r="A25" i="4"/>
  <c r="M24" i="4"/>
  <c r="E24" i="4"/>
  <c r="T24" i="4" s="1"/>
  <c r="U24" i="4" s="1"/>
  <c r="D24" i="4"/>
  <c r="C24" i="4"/>
  <c r="N24" i="4" s="1"/>
  <c r="B24" i="4"/>
  <c r="A24" i="4"/>
  <c r="M23" i="4"/>
  <c r="E23" i="4"/>
  <c r="T23" i="4" s="1"/>
  <c r="U23" i="4" s="1"/>
  <c r="D23" i="4"/>
  <c r="C23" i="4"/>
  <c r="N23" i="4" s="1"/>
  <c r="B23" i="4"/>
  <c r="A23" i="4"/>
  <c r="M22" i="4"/>
  <c r="E22" i="4"/>
  <c r="T22" i="4" s="1"/>
  <c r="U22" i="4" s="1"/>
  <c r="D22" i="4"/>
  <c r="C22" i="4"/>
  <c r="N22" i="4" s="1"/>
  <c r="B22" i="4"/>
  <c r="A22" i="4"/>
  <c r="M21" i="4"/>
  <c r="E21" i="4"/>
  <c r="T21" i="4" s="1"/>
  <c r="U21" i="4" s="1"/>
  <c r="D21" i="4"/>
  <c r="C21" i="4"/>
  <c r="N21" i="4" s="1"/>
  <c r="B21" i="4"/>
  <c r="A21" i="4"/>
  <c r="M20" i="4"/>
  <c r="E20" i="4"/>
  <c r="T20" i="4" s="1"/>
  <c r="U20" i="4" s="1"/>
  <c r="D20" i="4"/>
  <c r="C20" i="4"/>
  <c r="N20" i="4" s="1"/>
  <c r="B20" i="4"/>
  <c r="A20" i="4"/>
  <c r="M19" i="4"/>
  <c r="E19" i="4"/>
  <c r="T19" i="4" s="1"/>
  <c r="U19" i="4" s="1"/>
  <c r="D19" i="4"/>
  <c r="C19" i="4"/>
  <c r="N19" i="4" s="1"/>
  <c r="B19" i="4"/>
  <c r="A19" i="4"/>
  <c r="M18" i="4"/>
  <c r="E18" i="4"/>
  <c r="T18" i="4" s="1"/>
  <c r="U18" i="4" s="1"/>
  <c r="D18" i="4"/>
  <c r="C18" i="4"/>
  <c r="N18" i="4" s="1"/>
  <c r="B18" i="4"/>
  <c r="A18" i="4"/>
  <c r="M17" i="4"/>
  <c r="E17" i="4"/>
  <c r="T17" i="4" s="1"/>
  <c r="U17" i="4" s="1"/>
  <c r="D17" i="4"/>
  <c r="C17" i="4"/>
  <c r="N17" i="4" s="1"/>
  <c r="B17" i="4"/>
  <c r="A17" i="4"/>
  <c r="M16" i="4"/>
  <c r="E16" i="4"/>
  <c r="T16" i="4" s="1"/>
  <c r="U16" i="4" s="1"/>
  <c r="D16" i="4"/>
  <c r="C16" i="4"/>
  <c r="N16" i="4" s="1"/>
  <c r="B16" i="4"/>
  <c r="A16" i="4"/>
  <c r="M15" i="4"/>
  <c r="E15" i="4"/>
  <c r="T15" i="4" s="1"/>
  <c r="U15" i="4" s="1"/>
  <c r="D15" i="4"/>
  <c r="C15" i="4"/>
  <c r="N15" i="4" s="1"/>
  <c r="B15" i="4"/>
  <c r="A15" i="4"/>
  <c r="M14" i="4"/>
  <c r="E14" i="4"/>
  <c r="T14" i="4" s="1"/>
  <c r="U14" i="4" s="1"/>
  <c r="D14" i="4"/>
  <c r="C14" i="4"/>
  <c r="N14" i="4" s="1"/>
  <c r="B14" i="4"/>
  <c r="A14" i="4"/>
  <c r="M13" i="4"/>
  <c r="E13" i="4"/>
  <c r="T13" i="4" s="1"/>
  <c r="U13" i="4" s="1"/>
  <c r="D13" i="4"/>
  <c r="C13" i="4"/>
  <c r="N13" i="4" s="1"/>
  <c r="B13" i="4"/>
  <c r="A13" i="4"/>
  <c r="M12" i="4"/>
  <c r="E12" i="4"/>
  <c r="T12" i="4" s="1"/>
  <c r="U12" i="4" s="1"/>
  <c r="D12" i="4"/>
  <c r="C12" i="4"/>
  <c r="N12" i="4" s="1"/>
  <c r="B12" i="4"/>
  <c r="A12" i="4"/>
  <c r="M11" i="4"/>
  <c r="E11" i="4"/>
  <c r="T11" i="4" s="1"/>
  <c r="U11" i="4" s="1"/>
  <c r="D11" i="4"/>
  <c r="C11" i="4"/>
  <c r="N11" i="4" s="1"/>
  <c r="B11" i="4"/>
  <c r="A11" i="4"/>
  <c r="M10" i="4"/>
  <c r="E10" i="4"/>
  <c r="T10" i="4" s="1"/>
  <c r="U10" i="4" s="1"/>
  <c r="D10" i="4"/>
  <c r="C10" i="4"/>
  <c r="N10" i="4" s="1"/>
  <c r="B10" i="4"/>
  <c r="A10" i="4"/>
  <c r="M9" i="4"/>
  <c r="E9" i="4"/>
  <c r="T9" i="4" s="1"/>
  <c r="U9" i="4" s="1"/>
  <c r="D9" i="4"/>
  <c r="C9" i="4"/>
  <c r="N9" i="4" s="1"/>
  <c r="B9" i="4"/>
  <c r="A9" i="4"/>
  <c r="M8" i="4"/>
  <c r="E8" i="4"/>
  <c r="T8" i="4" s="1"/>
  <c r="U8" i="4" s="1"/>
  <c r="D8" i="4"/>
  <c r="C8" i="4"/>
  <c r="N8" i="4" s="1"/>
  <c r="B8" i="4"/>
  <c r="A8" i="4"/>
  <c r="M7" i="4"/>
  <c r="E7" i="4"/>
  <c r="T7" i="4" s="1"/>
  <c r="U7" i="4" s="1"/>
  <c r="D7" i="4"/>
  <c r="C7" i="4"/>
  <c r="N7" i="4" s="1"/>
  <c r="B7" i="4"/>
  <c r="A7" i="4"/>
  <c r="M6" i="4"/>
  <c r="E6" i="4"/>
  <c r="T6" i="4" s="1"/>
  <c r="D6" i="4"/>
  <c r="C6" i="4"/>
  <c r="N6" i="4" s="1"/>
  <c r="B6" i="4"/>
  <c r="A6" i="4"/>
  <c r="I36" i="3"/>
  <c r="H36" i="3"/>
  <c r="G36" i="3"/>
  <c r="M35" i="3"/>
  <c r="F35" i="3"/>
  <c r="E35" i="3"/>
  <c r="D35" i="3"/>
  <c r="C35" i="3"/>
  <c r="N35" i="3" s="1"/>
  <c r="B35" i="3"/>
  <c r="A35" i="3"/>
  <c r="M34" i="3"/>
  <c r="F34" i="3"/>
  <c r="E34" i="3"/>
  <c r="D34" i="3"/>
  <c r="C34" i="3"/>
  <c r="N34" i="3" s="1"/>
  <c r="B34" i="3"/>
  <c r="A34" i="3"/>
  <c r="M33" i="3"/>
  <c r="F33" i="3"/>
  <c r="E33" i="3"/>
  <c r="D33" i="3"/>
  <c r="C33" i="3"/>
  <c r="N33" i="3" s="1"/>
  <c r="B33" i="3"/>
  <c r="A33" i="3"/>
  <c r="M32" i="3"/>
  <c r="F32" i="3"/>
  <c r="E32" i="3"/>
  <c r="D32" i="3"/>
  <c r="C32" i="3"/>
  <c r="N32" i="3" s="1"/>
  <c r="B32" i="3"/>
  <c r="A32" i="3"/>
  <c r="M31" i="3"/>
  <c r="F31" i="3"/>
  <c r="E31" i="3"/>
  <c r="D31" i="3"/>
  <c r="C31" i="3"/>
  <c r="N31" i="3" s="1"/>
  <c r="B31" i="3"/>
  <c r="A31" i="3"/>
  <c r="M30" i="3"/>
  <c r="F30" i="3"/>
  <c r="E30" i="3"/>
  <c r="D30" i="3"/>
  <c r="C30" i="3"/>
  <c r="N30" i="3" s="1"/>
  <c r="B30" i="3"/>
  <c r="A30" i="3"/>
  <c r="M29" i="3"/>
  <c r="F29" i="3"/>
  <c r="E29" i="3"/>
  <c r="D29" i="3"/>
  <c r="C29" i="3"/>
  <c r="N29" i="3" s="1"/>
  <c r="B29" i="3"/>
  <c r="A29" i="3"/>
  <c r="M28" i="3"/>
  <c r="F28" i="3"/>
  <c r="E28" i="3"/>
  <c r="D28" i="3"/>
  <c r="C28" i="3"/>
  <c r="N28" i="3" s="1"/>
  <c r="B28" i="3"/>
  <c r="A28" i="3"/>
  <c r="M27" i="3"/>
  <c r="F27" i="3"/>
  <c r="E27" i="3"/>
  <c r="D27" i="3"/>
  <c r="C27" i="3"/>
  <c r="N27" i="3" s="1"/>
  <c r="B27" i="3"/>
  <c r="A27" i="3"/>
  <c r="M26" i="3"/>
  <c r="F26" i="3"/>
  <c r="E26" i="3"/>
  <c r="D26" i="3"/>
  <c r="C26" i="3"/>
  <c r="N26" i="3" s="1"/>
  <c r="B26" i="3"/>
  <c r="A26" i="3"/>
  <c r="M25" i="3"/>
  <c r="E25" i="3"/>
  <c r="T25" i="3" s="1"/>
  <c r="U25" i="3" s="1"/>
  <c r="D25" i="3"/>
  <c r="C25" i="3"/>
  <c r="N25" i="3" s="1"/>
  <c r="B25" i="3"/>
  <c r="A25" i="3"/>
  <c r="M24" i="3"/>
  <c r="E24" i="3"/>
  <c r="T24" i="3" s="1"/>
  <c r="U24" i="3" s="1"/>
  <c r="D24" i="3"/>
  <c r="C24" i="3"/>
  <c r="N24" i="3" s="1"/>
  <c r="B24" i="3"/>
  <c r="A24" i="3"/>
  <c r="M23" i="3"/>
  <c r="E23" i="3"/>
  <c r="T23" i="3" s="1"/>
  <c r="U23" i="3" s="1"/>
  <c r="D23" i="3"/>
  <c r="C23" i="3"/>
  <c r="N23" i="3" s="1"/>
  <c r="B23" i="3"/>
  <c r="A23" i="3"/>
  <c r="M22" i="3"/>
  <c r="E22" i="3"/>
  <c r="T22" i="3" s="1"/>
  <c r="U22" i="3" s="1"/>
  <c r="D22" i="3"/>
  <c r="C22" i="3"/>
  <c r="N22" i="3" s="1"/>
  <c r="B22" i="3"/>
  <c r="A22" i="3"/>
  <c r="M21" i="3"/>
  <c r="E21" i="3"/>
  <c r="T21" i="3" s="1"/>
  <c r="U21" i="3" s="1"/>
  <c r="D21" i="3"/>
  <c r="C21" i="3"/>
  <c r="N21" i="3" s="1"/>
  <c r="B21" i="3"/>
  <c r="A21" i="3"/>
  <c r="M20" i="3"/>
  <c r="E20" i="3"/>
  <c r="T20" i="3" s="1"/>
  <c r="U20" i="3" s="1"/>
  <c r="D20" i="3"/>
  <c r="C20" i="3"/>
  <c r="N20" i="3" s="1"/>
  <c r="B20" i="3"/>
  <c r="A20" i="3"/>
  <c r="M19" i="3"/>
  <c r="E19" i="3"/>
  <c r="T19" i="3" s="1"/>
  <c r="U19" i="3" s="1"/>
  <c r="D19" i="3"/>
  <c r="C19" i="3"/>
  <c r="N19" i="3" s="1"/>
  <c r="B19" i="3"/>
  <c r="A19" i="3"/>
  <c r="M18" i="3"/>
  <c r="E18" i="3"/>
  <c r="T18" i="3" s="1"/>
  <c r="U18" i="3" s="1"/>
  <c r="D18" i="3"/>
  <c r="C18" i="3"/>
  <c r="N18" i="3" s="1"/>
  <c r="B18" i="3"/>
  <c r="A18" i="3"/>
  <c r="M17" i="3"/>
  <c r="E17" i="3"/>
  <c r="T17" i="3" s="1"/>
  <c r="U17" i="3" s="1"/>
  <c r="D17" i="3"/>
  <c r="C17" i="3"/>
  <c r="N17" i="3" s="1"/>
  <c r="B17" i="3"/>
  <c r="A17" i="3"/>
  <c r="M16" i="3"/>
  <c r="E16" i="3"/>
  <c r="T16" i="3" s="1"/>
  <c r="U16" i="3" s="1"/>
  <c r="D16" i="3"/>
  <c r="C16" i="3"/>
  <c r="N16" i="3" s="1"/>
  <c r="B16" i="3"/>
  <c r="A16" i="3"/>
  <c r="M15" i="3"/>
  <c r="E15" i="3"/>
  <c r="T15" i="3" s="1"/>
  <c r="U15" i="3" s="1"/>
  <c r="D15" i="3"/>
  <c r="C15" i="3"/>
  <c r="N15" i="3" s="1"/>
  <c r="B15" i="3"/>
  <c r="A15" i="3"/>
  <c r="M14" i="3"/>
  <c r="E14" i="3"/>
  <c r="T14" i="3" s="1"/>
  <c r="U14" i="3" s="1"/>
  <c r="D14" i="3"/>
  <c r="C14" i="3"/>
  <c r="N14" i="3" s="1"/>
  <c r="B14" i="3"/>
  <c r="A14" i="3"/>
  <c r="M13" i="3"/>
  <c r="E13" i="3"/>
  <c r="T13" i="3" s="1"/>
  <c r="U13" i="3" s="1"/>
  <c r="D13" i="3"/>
  <c r="C13" i="3"/>
  <c r="N13" i="3" s="1"/>
  <c r="B13" i="3"/>
  <c r="A13" i="3"/>
  <c r="M12" i="3"/>
  <c r="E12" i="3"/>
  <c r="T12" i="3" s="1"/>
  <c r="U12" i="3" s="1"/>
  <c r="D12" i="3"/>
  <c r="C12" i="3"/>
  <c r="N12" i="3" s="1"/>
  <c r="B12" i="3"/>
  <c r="A12" i="3"/>
  <c r="M11" i="3"/>
  <c r="E11" i="3"/>
  <c r="T11" i="3" s="1"/>
  <c r="U11" i="3" s="1"/>
  <c r="D11" i="3"/>
  <c r="C11" i="3"/>
  <c r="N11" i="3" s="1"/>
  <c r="B11" i="3"/>
  <c r="A11" i="3"/>
  <c r="M10" i="3"/>
  <c r="E10" i="3"/>
  <c r="T10" i="3" s="1"/>
  <c r="U10" i="3" s="1"/>
  <c r="D10" i="3"/>
  <c r="C10" i="3"/>
  <c r="N10" i="3" s="1"/>
  <c r="B10" i="3"/>
  <c r="A10" i="3"/>
  <c r="M9" i="3"/>
  <c r="E9" i="3"/>
  <c r="T9" i="3" s="1"/>
  <c r="U9" i="3" s="1"/>
  <c r="D9" i="3"/>
  <c r="C9" i="3"/>
  <c r="N9" i="3" s="1"/>
  <c r="B9" i="3"/>
  <c r="A9" i="3"/>
  <c r="M8" i="3"/>
  <c r="E8" i="3"/>
  <c r="T8" i="3" s="1"/>
  <c r="U8" i="3" s="1"/>
  <c r="D8" i="3"/>
  <c r="C8" i="3"/>
  <c r="N8" i="3" s="1"/>
  <c r="B8" i="3"/>
  <c r="A8" i="3"/>
  <c r="M7" i="3"/>
  <c r="E7" i="3"/>
  <c r="T7" i="3" s="1"/>
  <c r="U7" i="3" s="1"/>
  <c r="D7" i="3"/>
  <c r="C7" i="3"/>
  <c r="N7" i="3" s="1"/>
  <c r="B7" i="3"/>
  <c r="A7" i="3"/>
  <c r="M6" i="3"/>
  <c r="E6" i="3"/>
  <c r="T6" i="3" s="1"/>
  <c r="D6" i="3"/>
  <c r="C6" i="3"/>
  <c r="N6" i="3" s="1"/>
  <c r="B6" i="3"/>
  <c r="A6" i="3"/>
  <c r="I36" i="2"/>
  <c r="H36" i="2"/>
  <c r="G36" i="2"/>
  <c r="N35" i="2"/>
  <c r="M35" i="2"/>
  <c r="K35" i="2"/>
  <c r="J35" i="2"/>
  <c r="L35" i="2" s="1"/>
  <c r="N34" i="2"/>
  <c r="M34" i="2"/>
  <c r="K34" i="2"/>
  <c r="J34" i="2"/>
  <c r="N33" i="2"/>
  <c r="M33" i="2"/>
  <c r="K33" i="2"/>
  <c r="J33" i="2"/>
  <c r="L33" i="2" s="1"/>
  <c r="N32" i="2"/>
  <c r="M32" i="2"/>
  <c r="K32" i="2"/>
  <c r="J32" i="2"/>
  <c r="L32" i="2" s="1"/>
  <c r="N31" i="2"/>
  <c r="M31" i="2"/>
  <c r="K31" i="2"/>
  <c r="J31" i="2"/>
  <c r="L31" i="2" s="1"/>
  <c r="N30" i="2"/>
  <c r="M30" i="2"/>
  <c r="K30" i="2"/>
  <c r="J30" i="2"/>
  <c r="L30" i="2" s="1"/>
  <c r="N29" i="2"/>
  <c r="M29" i="2"/>
  <c r="K29" i="2"/>
  <c r="J29" i="2"/>
  <c r="L29" i="2" s="1"/>
  <c r="N28" i="2"/>
  <c r="M28" i="2"/>
  <c r="K28" i="2"/>
  <c r="J28" i="2"/>
  <c r="L28" i="2" s="1"/>
  <c r="N27" i="2"/>
  <c r="M27" i="2"/>
  <c r="K27" i="2"/>
  <c r="J27" i="2"/>
  <c r="L27" i="2" s="1"/>
  <c r="N26" i="2"/>
  <c r="M26" i="2"/>
  <c r="K26" i="2"/>
  <c r="J26" i="2"/>
  <c r="L26" i="2" s="1"/>
  <c r="T25" i="2"/>
  <c r="U25" i="2" s="1"/>
  <c r="N25" i="2"/>
  <c r="M25" i="2"/>
  <c r="T24" i="2"/>
  <c r="U24" i="2" s="1"/>
  <c r="N24" i="2"/>
  <c r="M24" i="2"/>
  <c r="T23" i="2"/>
  <c r="U23" i="2" s="1"/>
  <c r="N23" i="2"/>
  <c r="M23" i="2"/>
  <c r="T22" i="2"/>
  <c r="U22" i="2" s="1"/>
  <c r="N22" i="2"/>
  <c r="M22" i="2"/>
  <c r="T21" i="2"/>
  <c r="U21" i="2" s="1"/>
  <c r="N21" i="2"/>
  <c r="M21" i="2"/>
  <c r="T20" i="2"/>
  <c r="U20" i="2" s="1"/>
  <c r="N20" i="2"/>
  <c r="M20" i="2"/>
  <c r="T19" i="2"/>
  <c r="U19" i="2" s="1"/>
  <c r="N19" i="2"/>
  <c r="M19" i="2"/>
  <c r="T18" i="2"/>
  <c r="U18" i="2" s="1"/>
  <c r="N18" i="2"/>
  <c r="M18" i="2"/>
  <c r="T17" i="2"/>
  <c r="U17" i="2" s="1"/>
  <c r="N17" i="2"/>
  <c r="M17" i="2"/>
  <c r="T16" i="2"/>
  <c r="U16" i="2" s="1"/>
  <c r="N16" i="2"/>
  <c r="M16" i="2"/>
  <c r="T15" i="2"/>
  <c r="U15" i="2" s="1"/>
  <c r="N15" i="2"/>
  <c r="M15" i="2"/>
  <c r="T14" i="2"/>
  <c r="U14" i="2" s="1"/>
  <c r="N14" i="2"/>
  <c r="M14" i="2"/>
  <c r="T13" i="2"/>
  <c r="U13" i="2" s="1"/>
  <c r="N13" i="2"/>
  <c r="M13" i="2"/>
  <c r="T12" i="2"/>
  <c r="U12" i="2" s="1"/>
  <c r="N12" i="2"/>
  <c r="M12" i="2"/>
  <c r="T11" i="2"/>
  <c r="U11" i="2" s="1"/>
  <c r="N11" i="2"/>
  <c r="M11" i="2"/>
  <c r="T10" i="2"/>
  <c r="U10" i="2" s="1"/>
  <c r="N10" i="2"/>
  <c r="M10" i="2"/>
  <c r="T9" i="2"/>
  <c r="U9" i="2" s="1"/>
  <c r="N9" i="2"/>
  <c r="M9" i="2"/>
  <c r="T8" i="2"/>
  <c r="U8" i="2" s="1"/>
  <c r="N8" i="2"/>
  <c r="M8" i="2"/>
  <c r="T7" i="2"/>
  <c r="U7" i="2" s="1"/>
  <c r="N7" i="2"/>
  <c r="M7" i="2"/>
  <c r="T6" i="2"/>
  <c r="N6" i="2"/>
  <c r="M6" i="2"/>
  <c r="C15" i="1"/>
  <c r="D15" i="1" s="1"/>
  <c r="E15" i="1" s="1"/>
  <c r="C14" i="1"/>
  <c r="D14" i="1" s="1"/>
  <c r="E14" i="1" s="1"/>
  <c r="C13" i="1"/>
  <c r="D13" i="1" s="1"/>
  <c r="E13" i="1" s="1"/>
  <c r="C7" i="1"/>
  <c r="C6" i="1"/>
  <c r="M36" i="4" l="1"/>
  <c r="N36" i="4"/>
  <c r="M36" i="3"/>
  <c r="M36" i="2"/>
  <c r="N36" i="2"/>
  <c r="L34" i="2"/>
  <c r="J35" i="3"/>
  <c r="K35" i="3"/>
  <c r="L35" i="3" s="1"/>
  <c r="J31" i="3"/>
  <c r="K31" i="3"/>
  <c r="L31" i="3" s="1"/>
  <c r="C43" i="5"/>
  <c r="C42" i="5"/>
  <c r="C40" i="5"/>
  <c r="C41" i="5"/>
  <c r="C39" i="5"/>
  <c r="K35" i="4"/>
  <c r="J35" i="4"/>
  <c r="L35" i="4" s="1"/>
  <c r="K34" i="4"/>
  <c r="J34" i="4"/>
  <c r="K33" i="4"/>
  <c r="J33" i="4"/>
  <c r="L33" i="4" s="1"/>
  <c r="J32" i="4"/>
  <c r="K32" i="4"/>
  <c r="J31" i="4"/>
  <c r="K31" i="4"/>
  <c r="K30" i="4"/>
  <c r="J30" i="4"/>
  <c r="K29" i="4"/>
  <c r="J29" i="4"/>
  <c r="L29" i="4" s="1"/>
  <c r="K28" i="4"/>
  <c r="J28" i="4"/>
  <c r="L28" i="4" s="1"/>
  <c r="K27" i="4"/>
  <c r="J27" i="4"/>
  <c r="L27" i="4" s="1"/>
  <c r="K26" i="4"/>
  <c r="J26" i="4"/>
  <c r="L26" i="4" s="1"/>
  <c r="U6" i="4"/>
  <c r="K34" i="3"/>
  <c r="J34" i="3"/>
  <c r="L34" i="3" s="1"/>
  <c r="J33" i="3"/>
  <c r="K33" i="3"/>
  <c r="K32" i="3"/>
  <c r="J32" i="3"/>
  <c r="L32" i="3" s="1"/>
  <c r="K30" i="3"/>
  <c r="J30" i="3"/>
  <c r="L30" i="3" s="1"/>
  <c r="K29" i="3"/>
  <c r="J29" i="3"/>
  <c r="L29" i="3" s="1"/>
  <c r="J28" i="3"/>
  <c r="K28" i="3"/>
  <c r="K27" i="3"/>
  <c r="J27" i="3"/>
  <c r="L27" i="3" s="1"/>
  <c r="J26" i="3"/>
  <c r="K26" i="3"/>
  <c r="U6" i="3"/>
  <c r="O35" i="2"/>
  <c r="Q35" i="2"/>
  <c r="R35" i="2"/>
  <c r="Z35" i="2"/>
  <c r="AA35" i="2"/>
  <c r="AA34" i="2"/>
  <c r="O34" i="2"/>
  <c r="R34" i="2"/>
  <c r="Z34" i="2"/>
  <c r="Q34" i="2"/>
  <c r="R33" i="2"/>
  <c r="Z33" i="2"/>
  <c r="O33" i="2"/>
  <c r="Q33" i="2"/>
  <c r="AA33" i="2"/>
  <c r="O32" i="2"/>
  <c r="AA32" i="2"/>
  <c r="Q32" i="2"/>
  <c r="R32" i="2"/>
  <c r="Z32" i="2"/>
  <c r="Q31" i="2"/>
  <c r="Z31" i="2"/>
  <c r="R31" i="2"/>
  <c r="O31" i="2"/>
  <c r="AA31" i="2"/>
  <c r="O30" i="2"/>
  <c r="R30" i="2"/>
  <c r="Z30" i="2"/>
  <c r="Q30" i="2"/>
  <c r="AA30" i="2"/>
  <c r="O29" i="2"/>
  <c r="Q29" i="2"/>
  <c r="R29" i="2"/>
  <c r="Z29" i="2"/>
  <c r="AA29" i="2"/>
  <c r="O28" i="2"/>
  <c r="R28" i="2"/>
  <c r="Z28" i="2"/>
  <c r="Q28" i="2"/>
  <c r="AA28" i="2"/>
  <c r="Q27" i="2"/>
  <c r="Z27" i="2"/>
  <c r="O27" i="2"/>
  <c r="R27" i="2"/>
  <c r="AA27" i="2"/>
  <c r="O26" i="2"/>
  <c r="Q26" i="2"/>
  <c r="Z26" i="2"/>
  <c r="R26" i="2"/>
  <c r="AA26" i="2"/>
  <c r="U6" i="2"/>
  <c r="F6" i="4"/>
  <c r="F7" i="4"/>
  <c r="F8" i="4"/>
  <c r="F9" i="4"/>
  <c r="F10" i="4"/>
  <c r="F11" i="4"/>
  <c r="F12" i="4"/>
  <c r="F13" i="4"/>
  <c r="F14" i="4"/>
  <c r="F15" i="4"/>
  <c r="F16" i="4"/>
  <c r="F17" i="4"/>
  <c r="F20" i="4"/>
  <c r="F21" i="4"/>
  <c r="F22" i="4"/>
  <c r="F23" i="4"/>
  <c r="F24" i="4"/>
  <c r="F25" i="4"/>
  <c r="F18" i="4"/>
  <c r="F19" i="4"/>
  <c r="F6" i="3"/>
  <c r="F7" i="3"/>
  <c r="F9" i="3"/>
  <c r="F10" i="3"/>
  <c r="F12" i="3"/>
  <c r="F13" i="3"/>
  <c r="F14" i="3"/>
  <c r="F8" i="3"/>
  <c r="F11" i="3"/>
  <c r="F15" i="3"/>
  <c r="F16" i="3"/>
  <c r="F17" i="3"/>
  <c r="F18" i="3"/>
  <c r="F19" i="3"/>
  <c r="F20" i="3"/>
  <c r="F21" i="3"/>
  <c r="F22" i="3"/>
  <c r="F23" i="3"/>
  <c r="F24" i="3"/>
  <c r="F25" i="3"/>
  <c r="F11" i="2"/>
  <c r="F13" i="2"/>
  <c r="F15" i="2"/>
  <c r="F7" i="2"/>
  <c r="F17" i="2"/>
  <c r="F6" i="2"/>
  <c r="F12" i="2"/>
  <c r="F14" i="2"/>
  <c r="F16" i="2"/>
  <c r="F22" i="2"/>
  <c r="F23" i="2"/>
  <c r="F24" i="2"/>
  <c r="F18" i="2"/>
  <c r="F20" i="2"/>
  <c r="F19" i="2"/>
  <c r="F8" i="2"/>
  <c r="F9" i="2"/>
  <c r="F10" i="2"/>
  <c r="F21" i="2"/>
  <c r="F25" i="2"/>
  <c r="N36" i="3"/>
  <c r="L30" i="4" l="1"/>
  <c r="O30" i="4" s="1"/>
  <c r="L33" i="3"/>
  <c r="C44" i="5"/>
  <c r="O35" i="3"/>
  <c r="Q35" i="3"/>
  <c r="R35" i="3"/>
  <c r="Z35" i="3"/>
  <c r="AA35" i="3"/>
  <c r="Q31" i="3"/>
  <c r="AA31" i="3"/>
  <c r="O31" i="3"/>
  <c r="R31" i="3"/>
  <c r="Z31" i="3"/>
  <c r="O35" i="4"/>
  <c r="Q35" i="4"/>
  <c r="R35" i="4"/>
  <c r="Z35" i="4"/>
  <c r="AA35" i="4"/>
  <c r="O33" i="4"/>
  <c r="Q33" i="4"/>
  <c r="R33" i="4"/>
  <c r="Z33" i="4"/>
  <c r="AA33" i="4"/>
  <c r="Q30" i="4"/>
  <c r="R30" i="4"/>
  <c r="Z30" i="4"/>
  <c r="AA30" i="4"/>
  <c r="O29" i="4"/>
  <c r="Q29" i="4"/>
  <c r="R29" i="4"/>
  <c r="Z29" i="4"/>
  <c r="AA29" i="4"/>
  <c r="Q28" i="4"/>
  <c r="Z28" i="4"/>
  <c r="O28" i="4"/>
  <c r="R28" i="4"/>
  <c r="AA28" i="4"/>
  <c r="Q27" i="4"/>
  <c r="Z27" i="4"/>
  <c r="O27" i="4"/>
  <c r="R27" i="4"/>
  <c r="AA27" i="4"/>
  <c r="O26" i="4"/>
  <c r="R26" i="4"/>
  <c r="Z26" i="4"/>
  <c r="Q26" i="4"/>
  <c r="AA26" i="4"/>
  <c r="O34" i="3"/>
  <c r="Q34" i="3"/>
  <c r="R34" i="3"/>
  <c r="Z34" i="3"/>
  <c r="AA34" i="3"/>
  <c r="O33" i="3"/>
  <c r="R33" i="3"/>
  <c r="Z33" i="3"/>
  <c r="AA33" i="3"/>
  <c r="Q33" i="3"/>
  <c r="O32" i="3"/>
  <c r="Q32" i="3"/>
  <c r="R32" i="3"/>
  <c r="Z32" i="3"/>
  <c r="AA32" i="3"/>
  <c r="P31" i="3"/>
  <c r="S31" i="3" s="1"/>
  <c r="X31" i="3"/>
  <c r="Y31" i="3"/>
  <c r="O30" i="3"/>
  <c r="Q30" i="3"/>
  <c r="R30" i="3"/>
  <c r="Z30" i="3"/>
  <c r="AA30" i="3"/>
  <c r="O29" i="3"/>
  <c r="Q29" i="3"/>
  <c r="R29" i="3"/>
  <c r="Z29" i="3"/>
  <c r="AA29" i="3"/>
  <c r="O27" i="3"/>
  <c r="Q27" i="3"/>
  <c r="R27" i="3"/>
  <c r="Z27" i="3"/>
  <c r="AA27" i="3"/>
  <c r="P35" i="2"/>
  <c r="S35" i="2" s="1"/>
  <c r="X35" i="2"/>
  <c r="Y35" i="2"/>
  <c r="P34" i="2"/>
  <c r="S34" i="2" s="1"/>
  <c r="Y34" i="2"/>
  <c r="X34" i="2"/>
  <c r="P33" i="2"/>
  <c r="S33" i="2" s="1"/>
  <c r="X33" i="2"/>
  <c r="Y33" i="2"/>
  <c r="X32" i="2"/>
  <c r="Y32" i="2"/>
  <c r="P32" i="2"/>
  <c r="S32" i="2" s="1"/>
  <c r="P31" i="2"/>
  <c r="S31" i="2" s="1"/>
  <c r="X31" i="2"/>
  <c r="Y31" i="2"/>
  <c r="P30" i="2"/>
  <c r="S30" i="2" s="1"/>
  <c r="X30" i="2"/>
  <c r="Y30" i="2"/>
  <c r="P29" i="2"/>
  <c r="S29" i="2" s="1"/>
  <c r="X29" i="2"/>
  <c r="Y29" i="2"/>
  <c r="X28" i="2"/>
  <c r="Y28" i="2"/>
  <c r="P28" i="2"/>
  <c r="S28" i="2" s="1"/>
  <c r="P27" i="2"/>
  <c r="S27" i="2" s="1"/>
  <c r="Y27" i="2"/>
  <c r="X27" i="2"/>
  <c r="X26" i="2"/>
  <c r="Y26" i="2"/>
  <c r="P26" i="2"/>
  <c r="S26" i="2" s="1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K17" i="4"/>
  <c r="J17" i="4"/>
  <c r="L17" i="4" s="1"/>
  <c r="J20" i="4"/>
  <c r="K20" i="4"/>
  <c r="J21" i="4"/>
  <c r="K21" i="4"/>
  <c r="J22" i="4"/>
  <c r="K22" i="4"/>
  <c r="J23" i="4"/>
  <c r="K23" i="4"/>
  <c r="J24" i="4"/>
  <c r="K24" i="4"/>
  <c r="J25" i="4"/>
  <c r="K25" i="4"/>
  <c r="K18" i="4"/>
  <c r="J18" i="4"/>
  <c r="L18" i="4" s="1"/>
  <c r="K19" i="4"/>
  <c r="J19" i="4"/>
  <c r="L19" i="4" s="1"/>
  <c r="K6" i="3"/>
  <c r="J6" i="3"/>
  <c r="K7" i="3"/>
  <c r="J7" i="3"/>
  <c r="L7" i="3" s="1"/>
  <c r="J9" i="3"/>
  <c r="K9" i="3"/>
  <c r="K10" i="3"/>
  <c r="J10" i="3"/>
  <c r="L10" i="3" s="1"/>
  <c r="J12" i="3"/>
  <c r="K12" i="3"/>
  <c r="J13" i="3"/>
  <c r="K13" i="3"/>
  <c r="J14" i="3"/>
  <c r="K14" i="3"/>
  <c r="J8" i="3"/>
  <c r="K8" i="3"/>
  <c r="J11" i="3"/>
  <c r="K11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K11" i="2"/>
  <c r="J11" i="2"/>
  <c r="L11" i="2" s="1"/>
  <c r="K13" i="2"/>
  <c r="J13" i="2"/>
  <c r="L13" i="2" s="1"/>
  <c r="J15" i="2"/>
  <c r="K15" i="2"/>
  <c r="J7" i="2"/>
  <c r="K7" i="2"/>
  <c r="J17" i="2"/>
  <c r="K17" i="2"/>
  <c r="J6" i="2"/>
  <c r="K6" i="2"/>
  <c r="J12" i="2"/>
  <c r="K12" i="2"/>
  <c r="J14" i="2"/>
  <c r="K14" i="2"/>
  <c r="J16" i="2"/>
  <c r="K16" i="2"/>
  <c r="J22" i="2"/>
  <c r="K22" i="2"/>
  <c r="J23" i="2"/>
  <c r="K23" i="2"/>
  <c r="J24" i="2"/>
  <c r="K24" i="2"/>
  <c r="J18" i="2"/>
  <c r="K18" i="2"/>
  <c r="J20" i="2"/>
  <c r="K20" i="2"/>
  <c r="J19" i="2"/>
  <c r="K19" i="2"/>
  <c r="K8" i="2"/>
  <c r="J8" i="2"/>
  <c r="L8" i="2" s="1"/>
  <c r="J9" i="2"/>
  <c r="K9" i="2"/>
  <c r="K10" i="2"/>
  <c r="J10" i="2"/>
  <c r="L10" i="2" s="1"/>
  <c r="J21" i="2"/>
  <c r="K21" i="2"/>
  <c r="J25" i="2"/>
  <c r="K25" i="2"/>
  <c r="L32" i="4"/>
  <c r="L31" i="4"/>
  <c r="L28" i="3"/>
  <c r="L26" i="3"/>
  <c r="L34" i="4"/>
  <c r="K36" i="4" l="1"/>
  <c r="L8" i="4"/>
  <c r="P35" i="3"/>
  <c r="S35" i="3" s="1"/>
  <c r="X35" i="3"/>
  <c r="Y35" i="3"/>
  <c r="P35" i="4"/>
  <c r="S35" i="4" s="1"/>
  <c r="X35" i="4"/>
  <c r="Y35" i="4"/>
  <c r="P33" i="4"/>
  <c r="S33" i="4" s="1"/>
  <c r="X33" i="4"/>
  <c r="Y33" i="4"/>
  <c r="P30" i="4"/>
  <c r="S30" i="4" s="1"/>
  <c r="X30" i="4"/>
  <c r="Y30" i="4"/>
  <c r="X29" i="4"/>
  <c r="Y29" i="4"/>
  <c r="P29" i="4"/>
  <c r="S29" i="4" s="1"/>
  <c r="P28" i="4"/>
  <c r="S28" i="4" s="1"/>
  <c r="X28" i="4"/>
  <c r="Y28" i="4"/>
  <c r="P27" i="4"/>
  <c r="S27" i="4" s="1"/>
  <c r="Y27" i="4"/>
  <c r="X27" i="4"/>
  <c r="P26" i="4"/>
  <c r="S26" i="4" s="1"/>
  <c r="Y26" i="4"/>
  <c r="X26" i="4"/>
  <c r="T35" i="3"/>
  <c r="U35" i="3" s="1"/>
  <c r="V35" i="3" s="1"/>
  <c r="W35" i="3" s="1"/>
  <c r="E34" i="5" s="1"/>
  <c r="P34" i="3"/>
  <c r="S34" i="3" s="1"/>
  <c r="X34" i="3"/>
  <c r="Y34" i="3"/>
  <c r="P33" i="3"/>
  <c r="S33" i="3" s="1"/>
  <c r="X33" i="3"/>
  <c r="Y33" i="3"/>
  <c r="P32" i="3"/>
  <c r="S32" i="3" s="1"/>
  <c r="X32" i="3"/>
  <c r="Y32" i="3"/>
  <c r="T31" i="3"/>
  <c r="U31" i="3" s="1"/>
  <c r="V31" i="3"/>
  <c r="W31" i="3" s="1"/>
  <c r="E30" i="5" s="1"/>
  <c r="P30" i="3"/>
  <c r="S30" i="3" s="1"/>
  <c r="X30" i="3"/>
  <c r="Y30" i="3"/>
  <c r="P29" i="3"/>
  <c r="S29" i="3" s="1"/>
  <c r="X29" i="3"/>
  <c r="Y29" i="3"/>
  <c r="P27" i="3"/>
  <c r="S27" i="3" s="1"/>
  <c r="X27" i="3"/>
  <c r="Y27" i="3"/>
  <c r="T35" i="2"/>
  <c r="U35" i="2" s="1"/>
  <c r="V35" i="2" s="1"/>
  <c r="W35" i="2" s="1"/>
  <c r="D34" i="5" s="1"/>
  <c r="T34" i="2"/>
  <c r="U34" i="2" s="1"/>
  <c r="V34" i="2"/>
  <c r="W34" i="2" s="1"/>
  <c r="D33" i="5" s="1"/>
  <c r="T33" i="2"/>
  <c r="U33" i="2" s="1"/>
  <c r="V33" i="2"/>
  <c r="W33" i="2" s="1"/>
  <c r="D32" i="5" s="1"/>
  <c r="T32" i="2"/>
  <c r="U32" i="2" s="1"/>
  <c r="V32" i="2"/>
  <c r="W32" i="2" s="1"/>
  <c r="D31" i="5" s="1"/>
  <c r="T31" i="2"/>
  <c r="U31" i="2" s="1"/>
  <c r="V31" i="2" s="1"/>
  <c r="W31" i="2" s="1"/>
  <c r="D30" i="5" s="1"/>
  <c r="T30" i="2"/>
  <c r="U30" i="2" s="1"/>
  <c r="V30" i="2"/>
  <c r="W30" i="2" s="1"/>
  <c r="D29" i="5" s="1"/>
  <c r="T29" i="2"/>
  <c r="U29" i="2" s="1"/>
  <c r="V29" i="2" s="1"/>
  <c r="W29" i="2" s="1"/>
  <c r="D28" i="5" s="1"/>
  <c r="T28" i="2"/>
  <c r="U28" i="2" s="1"/>
  <c r="V28" i="2" s="1"/>
  <c r="W28" i="2" s="1"/>
  <c r="D27" i="5" s="1"/>
  <c r="T27" i="2"/>
  <c r="U27" i="2" s="1"/>
  <c r="V27" i="2" s="1"/>
  <c r="W27" i="2" s="1"/>
  <c r="D26" i="5" s="1"/>
  <c r="T26" i="2"/>
  <c r="L6" i="4"/>
  <c r="J36" i="4"/>
  <c r="R8" i="4"/>
  <c r="Z8" i="4"/>
  <c r="AA8" i="4"/>
  <c r="Q17" i="4"/>
  <c r="AA17" i="4"/>
  <c r="O17" i="4"/>
  <c r="R17" i="4"/>
  <c r="Z17" i="4"/>
  <c r="O18" i="4"/>
  <c r="R18" i="4"/>
  <c r="AA18" i="4"/>
  <c r="Q18" i="4"/>
  <c r="Z18" i="4"/>
  <c r="O19" i="4"/>
  <c r="R19" i="4"/>
  <c r="Q19" i="4"/>
  <c r="AA19" i="4"/>
  <c r="Z19" i="4"/>
  <c r="L6" i="3"/>
  <c r="J36" i="3"/>
  <c r="Q7" i="3"/>
  <c r="Z7" i="3"/>
  <c r="O7" i="3"/>
  <c r="R7" i="3"/>
  <c r="AA7" i="3"/>
  <c r="Q10" i="3"/>
  <c r="AA10" i="3"/>
  <c r="O10" i="3"/>
  <c r="R10" i="3"/>
  <c r="Z10" i="3"/>
  <c r="R11" i="2"/>
  <c r="Q11" i="2"/>
  <c r="O11" i="2"/>
  <c r="Z11" i="2"/>
  <c r="AA11" i="2"/>
  <c r="R13" i="2"/>
  <c r="AA13" i="2"/>
  <c r="Q13" i="2"/>
  <c r="O13" i="2"/>
  <c r="Z13" i="2"/>
  <c r="J36" i="2"/>
  <c r="L6" i="2"/>
  <c r="O8" i="2"/>
  <c r="Q8" i="2"/>
  <c r="Z8" i="2"/>
  <c r="R8" i="2"/>
  <c r="AA8" i="2"/>
  <c r="AA10" i="2"/>
  <c r="O10" i="2"/>
  <c r="Q10" i="2"/>
  <c r="Z10" i="2"/>
  <c r="R10" i="2"/>
  <c r="AA32" i="4"/>
  <c r="Z32" i="4"/>
  <c r="R32" i="4"/>
  <c r="Q32" i="4"/>
  <c r="O32" i="4"/>
  <c r="AA31" i="4"/>
  <c r="Z31" i="4"/>
  <c r="R31" i="4"/>
  <c r="Q31" i="4"/>
  <c r="O31" i="4"/>
  <c r="AA28" i="3"/>
  <c r="Z28" i="3"/>
  <c r="R28" i="3"/>
  <c r="Q28" i="3"/>
  <c r="O28" i="3"/>
  <c r="AA26" i="3"/>
  <c r="Z26" i="3"/>
  <c r="R26" i="3"/>
  <c r="Q26" i="3"/>
  <c r="O26" i="3"/>
  <c r="AA34" i="4"/>
  <c r="Z34" i="4"/>
  <c r="R34" i="4"/>
  <c r="Q34" i="4"/>
  <c r="O34" i="4"/>
  <c r="AB31" i="3"/>
  <c r="AC31" i="3" s="1"/>
  <c r="I30" i="5" s="1"/>
  <c r="AB34" i="2"/>
  <c r="AC34" i="2" s="1"/>
  <c r="H33" i="5" s="1"/>
  <c r="AB32" i="2"/>
  <c r="AC32" i="2" s="1"/>
  <c r="H31" i="5" s="1"/>
  <c r="AB29" i="2"/>
  <c r="AC29" i="2" s="1"/>
  <c r="H28" i="5" s="1"/>
  <c r="AB35" i="3"/>
  <c r="AC35" i="3" s="1"/>
  <c r="I34" i="5" s="1"/>
  <c r="AB31" i="2"/>
  <c r="AC31" i="2" s="1"/>
  <c r="H30" i="5" s="1"/>
  <c r="AB30" i="2"/>
  <c r="AC30" i="2" s="1"/>
  <c r="H29" i="5" s="1"/>
  <c r="AB28" i="2"/>
  <c r="AC28" i="2" s="1"/>
  <c r="H27" i="5" s="1"/>
  <c r="AB35" i="2"/>
  <c r="AC35" i="2" s="1"/>
  <c r="H34" i="5" s="1"/>
  <c r="L9" i="4"/>
  <c r="L10" i="4"/>
  <c r="L11" i="4"/>
  <c r="L12" i="4"/>
  <c r="L13" i="4"/>
  <c r="L14" i="4"/>
  <c r="L15" i="4"/>
  <c r="L16" i="4"/>
  <c r="L20" i="4"/>
  <c r="L21" i="4"/>
  <c r="L22" i="4"/>
  <c r="L23" i="4"/>
  <c r="L24" i="4"/>
  <c r="L25" i="4"/>
  <c r="K36" i="3"/>
  <c r="L9" i="3"/>
  <c r="L12" i="3"/>
  <c r="L13" i="3"/>
  <c r="AB27" i="2"/>
  <c r="AC27" i="2" s="1"/>
  <c r="H26" i="5" s="1"/>
  <c r="AB26" i="2"/>
  <c r="AC26" i="2" s="1"/>
  <c r="H25" i="5" s="1"/>
  <c r="L14" i="3"/>
  <c r="L8" i="3"/>
  <c r="L11" i="3"/>
  <c r="L15" i="3"/>
  <c r="L16" i="3"/>
  <c r="L17" i="3"/>
  <c r="L18" i="3"/>
  <c r="L19" i="3"/>
  <c r="L20" i="3"/>
  <c r="L21" i="3"/>
  <c r="L22" i="3"/>
  <c r="L23" i="3"/>
  <c r="L24" i="3"/>
  <c r="L25" i="3"/>
  <c r="L15" i="2"/>
  <c r="L7" i="2"/>
  <c r="L17" i="2"/>
  <c r="K36" i="2"/>
  <c r="L12" i="2"/>
  <c r="L14" i="2"/>
  <c r="L16" i="2"/>
  <c r="L22" i="2"/>
  <c r="L23" i="2"/>
  <c r="L24" i="2"/>
  <c r="L18" i="2"/>
  <c r="L20" i="2"/>
  <c r="L19" i="2"/>
  <c r="L9" i="2"/>
  <c r="L21" i="2"/>
  <c r="L25" i="2"/>
  <c r="L7" i="4"/>
  <c r="AB33" i="2"/>
  <c r="AC33" i="2" s="1"/>
  <c r="H32" i="5" s="1"/>
  <c r="O8" i="4" l="1"/>
  <c r="Q8" i="4"/>
  <c r="AB29" i="4"/>
  <c r="AC29" i="4" s="1"/>
  <c r="J28" i="5" s="1"/>
  <c r="AB26" i="4"/>
  <c r="AC26" i="4" s="1"/>
  <c r="J25" i="5" s="1"/>
  <c r="T35" i="4"/>
  <c r="U35" i="4" s="1"/>
  <c r="V35" i="4"/>
  <c r="W35" i="4" s="1"/>
  <c r="F34" i="5" s="1"/>
  <c r="G34" i="5" s="1"/>
  <c r="T33" i="4"/>
  <c r="U33" i="4" s="1"/>
  <c r="V33" i="4"/>
  <c r="W33" i="4" s="1"/>
  <c r="F32" i="5" s="1"/>
  <c r="T30" i="4"/>
  <c r="U30" i="4" s="1"/>
  <c r="V30" i="4"/>
  <c r="W30" i="4" s="1"/>
  <c r="F29" i="5" s="1"/>
  <c r="T29" i="4"/>
  <c r="U29" i="4" s="1"/>
  <c r="V29" i="4"/>
  <c r="W29" i="4" s="1"/>
  <c r="F28" i="5" s="1"/>
  <c r="T28" i="4"/>
  <c r="U28" i="4" s="1"/>
  <c r="V28" i="4"/>
  <c r="W28" i="4" s="1"/>
  <c r="F27" i="5" s="1"/>
  <c r="T27" i="4"/>
  <c r="U27" i="4" s="1"/>
  <c r="V27" i="4"/>
  <c r="W27" i="4" s="1"/>
  <c r="F26" i="5" s="1"/>
  <c r="T26" i="4"/>
  <c r="T34" i="3"/>
  <c r="U34" i="3" s="1"/>
  <c r="V34" i="3"/>
  <c r="W34" i="3" s="1"/>
  <c r="E33" i="5" s="1"/>
  <c r="T33" i="3"/>
  <c r="U33" i="3" s="1"/>
  <c r="V33" i="3"/>
  <c r="W33" i="3" s="1"/>
  <c r="E32" i="5" s="1"/>
  <c r="T32" i="3"/>
  <c r="U32" i="3" s="1"/>
  <c r="V32" i="3"/>
  <c r="W32" i="3" s="1"/>
  <c r="E31" i="5" s="1"/>
  <c r="T30" i="3"/>
  <c r="U30" i="3" s="1"/>
  <c r="V30" i="3"/>
  <c r="W30" i="3" s="1"/>
  <c r="E29" i="5" s="1"/>
  <c r="T29" i="3"/>
  <c r="U29" i="3" s="1"/>
  <c r="V29" i="3"/>
  <c r="W29" i="3" s="1"/>
  <c r="E28" i="5" s="1"/>
  <c r="T27" i="3"/>
  <c r="U27" i="3" s="1"/>
  <c r="V27" i="3"/>
  <c r="W27" i="3" s="1"/>
  <c r="E26" i="5" s="1"/>
  <c r="T36" i="2"/>
  <c r="U26" i="2"/>
  <c r="O6" i="4"/>
  <c r="Q6" i="4"/>
  <c r="R6" i="4"/>
  <c r="Z6" i="4"/>
  <c r="AA6" i="4"/>
  <c r="L36" i="4"/>
  <c r="P8" i="4"/>
  <c r="S8" i="4" s="1"/>
  <c r="V8" i="4" s="1"/>
  <c r="W8" i="4" s="1"/>
  <c r="F7" i="5" s="1"/>
  <c r="X8" i="4"/>
  <c r="Y8" i="4"/>
  <c r="P17" i="4"/>
  <c r="S17" i="4" s="1"/>
  <c r="V17" i="4" s="1"/>
  <c r="W17" i="4" s="1"/>
  <c r="F16" i="5" s="1"/>
  <c r="Y17" i="4"/>
  <c r="X17" i="4"/>
  <c r="AB17" i="4" s="1"/>
  <c r="AC17" i="4" s="1"/>
  <c r="J16" i="5" s="1"/>
  <c r="X18" i="4"/>
  <c r="P18" i="4"/>
  <c r="S18" i="4" s="1"/>
  <c r="V18" i="4" s="1"/>
  <c r="W18" i="4" s="1"/>
  <c r="F17" i="5" s="1"/>
  <c r="Y18" i="4"/>
  <c r="X19" i="4"/>
  <c r="Y19" i="4"/>
  <c r="P19" i="4"/>
  <c r="S19" i="4" s="1"/>
  <c r="V19" i="4" s="1"/>
  <c r="W19" i="4" s="1"/>
  <c r="F18" i="5" s="1"/>
  <c r="L36" i="3"/>
  <c r="Q6" i="3"/>
  <c r="AA6" i="3"/>
  <c r="O6" i="3"/>
  <c r="R6" i="3"/>
  <c r="Z6" i="3"/>
  <c r="P7" i="3"/>
  <c r="S7" i="3" s="1"/>
  <c r="V7" i="3" s="1"/>
  <c r="W7" i="3" s="1"/>
  <c r="E6" i="5" s="1"/>
  <c r="Y7" i="3"/>
  <c r="X7" i="3"/>
  <c r="AB7" i="3" s="1"/>
  <c r="AC7" i="3" s="1"/>
  <c r="I6" i="5" s="1"/>
  <c r="P10" i="3"/>
  <c r="S10" i="3" s="1"/>
  <c r="V10" i="3" s="1"/>
  <c r="W10" i="3" s="1"/>
  <c r="E9" i="5" s="1"/>
  <c r="X10" i="3"/>
  <c r="Y10" i="3"/>
  <c r="X11" i="2"/>
  <c r="Y11" i="2"/>
  <c r="P11" i="2"/>
  <c r="S11" i="2" s="1"/>
  <c r="V11" i="2" s="1"/>
  <c r="W11" i="2" s="1"/>
  <c r="D10" i="5" s="1"/>
  <c r="Y13" i="2"/>
  <c r="P13" i="2"/>
  <c r="S13" i="2" s="1"/>
  <c r="V13" i="2" s="1"/>
  <c r="W13" i="2" s="1"/>
  <c r="D12" i="5" s="1"/>
  <c r="X13" i="2"/>
  <c r="AB13" i="2" s="1"/>
  <c r="AC13" i="2" s="1"/>
  <c r="H12" i="5" s="1"/>
  <c r="R6" i="2"/>
  <c r="O6" i="2"/>
  <c r="Z6" i="2"/>
  <c r="Q6" i="2"/>
  <c r="AA6" i="2"/>
  <c r="L36" i="2"/>
  <c r="X8" i="2"/>
  <c r="P8" i="2"/>
  <c r="S8" i="2" s="1"/>
  <c r="V8" i="2" s="1"/>
  <c r="W8" i="2" s="1"/>
  <c r="D7" i="5" s="1"/>
  <c r="Y8" i="2"/>
  <c r="P10" i="2"/>
  <c r="S10" i="2" s="1"/>
  <c r="V10" i="2" s="1"/>
  <c r="W10" i="2" s="1"/>
  <c r="D9" i="5" s="1"/>
  <c r="Y10" i="2"/>
  <c r="X10" i="2"/>
  <c r="AB10" i="2" s="1"/>
  <c r="AC10" i="2" s="1"/>
  <c r="H9" i="5" s="1"/>
  <c r="P32" i="4"/>
  <c r="S32" i="4" s="1"/>
  <c r="X32" i="4"/>
  <c r="Y32" i="4"/>
  <c r="P31" i="4"/>
  <c r="S31" i="4" s="1"/>
  <c r="X31" i="4"/>
  <c r="Y31" i="4"/>
  <c r="P28" i="3"/>
  <c r="S28" i="3" s="1"/>
  <c r="X28" i="3"/>
  <c r="Y28" i="3"/>
  <c r="P26" i="3"/>
  <c r="S26" i="3" s="1"/>
  <c r="X26" i="3"/>
  <c r="Y26" i="3"/>
  <c r="P34" i="4"/>
  <c r="S34" i="4" s="1"/>
  <c r="X34" i="4"/>
  <c r="Y34" i="4"/>
  <c r="AA9" i="4"/>
  <c r="Z9" i="4"/>
  <c r="R9" i="4"/>
  <c r="Q9" i="4"/>
  <c r="O9" i="4"/>
  <c r="AA10" i="4"/>
  <c r="Z10" i="4"/>
  <c r="R10" i="4"/>
  <c r="Q10" i="4"/>
  <c r="O10" i="4"/>
  <c r="AA11" i="4"/>
  <c r="Z11" i="4"/>
  <c r="R11" i="4"/>
  <c r="Q11" i="4"/>
  <c r="O11" i="4"/>
  <c r="AA12" i="4"/>
  <c r="Z12" i="4"/>
  <c r="R12" i="4"/>
  <c r="Q12" i="4"/>
  <c r="O12" i="4"/>
  <c r="AA13" i="4"/>
  <c r="Z13" i="4"/>
  <c r="R13" i="4"/>
  <c r="Q13" i="4"/>
  <c r="O13" i="4"/>
  <c r="AA14" i="4"/>
  <c r="Z14" i="4"/>
  <c r="R14" i="4"/>
  <c r="Q14" i="4"/>
  <c r="O14" i="4"/>
  <c r="AA15" i="4"/>
  <c r="Z15" i="4"/>
  <c r="R15" i="4"/>
  <c r="Q15" i="4"/>
  <c r="O15" i="4"/>
  <c r="AA16" i="4"/>
  <c r="Z16" i="4"/>
  <c r="R16" i="4"/>
  <c r="Q16" i="4"/>
  <c r="O16" i="4"/>
  <c r="AA20" i="4"/>
  <c r="Z20" i="4"/>
  <c r="R20" i="4"/>
  <c r="Q20" i="4"/>
  <c r="O20" i="4"/>
  <c r="AA21" i="4"/>
  <c r="Z21" i="4"/>
  <c r="R21" i="4"/>
  <c r="Q21" i="4"/>
  <c r="O21" i="4"/>
  <c r="AA22" i="4"/>
  <c r="Z22" i="4"/>
  <c r="R22" i="4"/>
  <c r="Q22" i="4"/>
  <c r="O22" i="4"/>
  <c r="AA23" i="4"/>
  <c r="Z23" i="4"/>
  <c r="R23" i="4"/>
  <c r="Q23" i="4"/>
  <c r="O23" i="4"/>
  <c r="AA24" i="4"/>
  <c r="Z24" i="4"/>
  <c r="R24" i="4"/>
  <c r="Q24" i="4"/>
  <c r="O24" i="4"/>
  <c r="Z25" i="4"/>
  <c r="AA25" i="4"/>
  <c r="R25" i="4"/>
  <c r="Q25" i="4"/>
  <c r="O25" i="4"/>
  <c r="AA9" i="3"/>
  <c r="Q9" i="3"/>
  <c r="Z9" i="3"/>
  <c r="R9" i="3"/>
  <c r="O9" i="3"/>
  <c r="AA12" i="3"/>
  <c r="Z12" i="3"/>
  <c r="R12" i="3"/>
  <c r="Q12" i="3"/>
  <c r="O12" i="3"/>
  <c r="AA13" i="3"/>
  <c r="Z13" i="3"/>
  <c r="R13" i="3"/>
  <c r="Q13" i="3"/>
  <c r="O13" i="3"/>
  <c r="AA14" i="3"/>
  <c r="Z14" i="3"/>
  <c r="R14" i="3"/>
  <c r="Q14" i="3"/>
  <c r="O14" i="3"/>
  <c r="Z8" i="3"/>
  <c r="R8" i="3"/>
  <c r="O8" i="3"/>
  <c r="AA8" i="3"/>
  <c r="Q8" i="3"/>
  <c r="Q11" i="3"/>
  <c r="AA11" i="3"/>
  <c r="Z11" i="3"/>
  <c r="R11" i="3"/>
  <c r="O11" i="3"/>
  <c r="AA15" i="3"/>
  <c r="Z15" i="3"/>
  <c r="R15" i="3"/>
  <c r="Q15" i="3"/>
  <c r="O15" i="3"/>
  <c r="AA16" i="3"/>
  <c r="Z16" i="3"/>
  <c r="R16" i="3"/>
  <c r="Q16" i="3"/>
  <c r="O16" i="3"/>
  <c r="AA17" i="3"/>
  <c r="Z17" i="3"/>
  <c r="R17" i="3"/>
  <c r="Q17" i="3"/>
  <c r="O17" i="3"/>
  <c r="AA18" i="3"/>
  <c r="Z18" i="3"/>
  <c r="R18" i="3"/>
  <c r="Q18" i="3"/>
  <c r="O18" i="3"/>
  <c r="AA19" i="3"/>
  <c r="Z19" i="3"/>
  <c r="R19" i="3"/>
  <c r="Q19" i="3"/>
  <c r="O19" i="3"/>
  <c r="AA20" i="3"/>
  <c r="Z20" i="3"/>
  <c r="R20" i="3"/>
  <c r="Q20" i="3"/>
  <c r="O20" i="3"/>
  <c r="AA21" i="3"/>
  <c r="Z21" i="3"/>
  <c r="R21" i="3"/>
  <c r="Q21" i="3"/>
  <c r="O21" i="3"/>
  <c r="AA22" i="3"/>
  <c r="Z22" i="3"/>
  <c r="R22" i="3"/>
  <c r="Q22" i="3"/>
  <c r="O22" i="3"/>
  <c r="AA23" i="3"/>
  <c r="Z23" i="3"/>
  <c r="R23" i="3"/>
  <c r="Q23" i="3"/>
  <c r="O23" i="3"/>
  <c r="AA24" i="3"/>
  <c r="Z24" i="3"/>
  <c r="R24" i="3"/>
  <c r="Q24" i="3"/>
  <c r="O24" i="3"/>
  <c r="AA25" i="3"/>
  <c r="Z25" i="3"/>
  <c r="R25" i="3"/>
  <c r="Q25" i="3"/>
  <c r="O25" i="3"/>
  <c r="AA15" i="2"/>
  <c r="Z15" i="2"/>
  <c r="R15" i="2"/>
  <c r="Q15" i="2"/>
  <c r="O15" i="2"/>
  <c r="Z7" i="2"/>
  <c r="R7" i="2"/>
  <c r="Q7" i="2"/>
  <c r="O7" i="2"/>
  <c r="AA7" i="2"/>
  <c r="Q17" i="2"/>
  <c r="O17" i="2"/>
  <c r="R17" i="2"/>
  <c r="Z17" i="2"/>
  <c r="AA17" i="2"/>
  <c r="Z12" i="2"/>
  <c r="AA12" i="2"/>
  <c r="R12" i="2"/>
  <c r="Q12" i="2"/>
  <c r="O12" i="2"/>
  <c r="AA14" i="2"/>
  <c r="Z14" i="2"/>
  <c r="R14" i="2"/>
  <c r="Q14" i="2"/>
  <c r="O14" i="2"/>
  <c r="AA16" i="2"/>
  <c r="O16" i="2"/>
  <c r="Q16" i="2"/>
  <c r="R16" i="2"/>
  <c r="Z16" i="2"/>
  <c r="AA22" i="2"/>
  <c r="Q22" i="2"/>
  <c r="Z22" i="2"/>
  <c r="R22" i="2"/>
  <c r="O22" i="2"/>
  <c r="Q23" i="2"/>
  <c r="Z23" i="2"/>
  <c r="R23" i="2"/>
  <c r="AA23" i="2"/>
  <c r="O23" i="2"/>
  <c r="R24" i="2"/>
  <c r="O24" i="2"/>
  <c r="AA24" i="2"/>
  <c r="Z24" i="2"/>
  <c r="Q24" i="2"/>
  <c r="R18" i="2"/>
  <c r="AA18" i="2"/>
  <c r="O18" i="2"/>
  <c r="Z18" i="2"/>
  <c r="Q18" i="2"/>
  <c r="R20" i="2"/>
  <c r="O20" i="2"/>
  <c r="Z20" i="2"/>
  <c r="Q20" i="2"/>
  <c r="AA20" i="2"/>
  <c r="Z19" i="2"/>
  <c r="AA19" i="2"/>
  <c r="R19" i="2"/>
  <c r="Q19" i="2"/>
  <c r="O19" i="2"/>
  <c r="Q9" i="2"/>
  <c r="R9" i="2"/>
  <c r="Z9" i="2"/>
  <c r="AA9" i="2"/>
  <c r="O9" i="2"/>
  <c r="AA21" i="2"/>
  <c r="Z21" i="2"/>
  <c r="R21" i="2"/>
  <c r="Q21" i="2"/>
  <c r="O21" i="2"/>
  <c r="AA25" i="2"/>
  <c r="Z25" i="2"/>
  <c r="R25" i="2"/>
  <c r="Q25" i="2"/>
  <c r="O25" i="2"/>
  <c r="AA7" i="4"/>
  <c r="Z7" i="4"/>
  <c r="R7" i="4"/>
  <c r="Q7" i="4"/>
  <c r="O7" i="4"/>
  <c r="AB35" i="4"/>
  <c r="AC35" i="4" s="1"/>
  <c r="J34" i="5" s="1"/>
  <c r="K34" i="5" s="1"/>
  <c r="AB33" i="4"/>
  <c r="AC33" i="4" s="1"/>
  <c r="J32" i="5" s="1"/>
  <c r="AB30" i="4"/>
  <c r="AC30" i="4" s="1"/>
  <c r="J29" i="5" s="1"/>
  <c r="AB28" i="4"/>
  <c r="AC28" i="4" s="1"/>
  <c r="J27" i="5" s="1"/>
  <c r="AB33" i="3"/>
  <c r="AC33" i="3" s="1"/>
  <c r="I32" i="5" s="1"/>
  <c r="K32" i="5" s="1"/>
  <c r="AB29" i="3"/>
  <c r="AC29" i="3" s="1"/>
  <c r="I28" i="5" s="1"/>
  <c r="K28" i="5" s="1"/>
  <c r="AB27" i="3"/>
  <c r="AC27" i="3" s="1"/>
  <c r="I26" i="5" s="1"/>
  <c r="AB32" i="3"/>
  <c r="AC32" i="3" s="1"/>
  <c r="I31" i="5" s="1"/>
  <c r="AB30" i="3"/>
  <c r="AC30" i="3" s="1"/>
  <c r="I29" i="5" s="1"/>
  <c r="K29" i="5" s="1"/>
  <c r="AB27" i="4"/>
  <c r="AC27" i="4" s="1"/>
  <c r="J26" i="5" s="1"/>
  <c r="AB34" i="3"/>
  <c r="AC34" i="3" s="1"/>
  <c r="I33" i="5" s="1"/>
  <c r="G32" i="5" l="1"/>
  <c r="G29" i="5"/>
  <c r="G28" i="5"/>
  <c r="U26" i="4"/>
  <c r="V26" i="2"/>
  <c r="W26" i="2" s="1"/>
  <c r="D25" i="5" s="1"/>
  <c r="U36" i="2"/>
  <c r="P6" i="4"/>
  <c r="X6" i="4"/>
  <c r="Y6" i="4"/>
  <c r="P6" i="3"/>
  <c r="X6" i="3"/>
  <c r="Y6" i="3"/>
  <c r="X6" i="2"/>
  <c r="P6" i="2"/>
  <c r="Y6" i="2"/>
  <c r="T32" i="4"/>
  <c r="U32" i="4" s="1"/>
  <c r="V32" i="4" s="1"/>
  <c r="W32" i="4" s="1"/>
  <c r="F31" i="5" s="1"/>
  <c r="G31" i="5" s="1"/>
  <c r="D43" i="5" s="1"/>
  <c r="T31" i="4"/>
  <c r="T28" i="3"/>
  <c r="U28" i="3" s="1"/>
  <c r="V28" i="3" s="1"/>
  <c r="W28" i="3" s="1"/>
  <c r="E27" i="5" s="1"/>
  <c r="G27" i="5" s="1"/>
  <c r="T26" i="3"/>
  <c r="T34" i="4"/>
  <c r="U34" i="4" s="1"/>
  <c r="V34" i="4" s="1"/>
  <c r="W34" i="4" s="1"/>
  <c r="F33" i="5" s="1"/>
  <c r="G33" i="5" s="1"/>
  <c r="P9" i="4"/>
  <c r="S9" i="4" s="1"/>
  <c r="V9" i="4" s="1"/>
  <c r="W9" i="4" s="1"/>
  <c r="F8" i="5" s="1"/>
  <c r="X9" i="4"/>
  <c r="Y9" i="4"/>
  <c r="P10" i="4"/>
  <c r="S10" i="4" s="1"/>
  <c r="V10" i="4" s="1"/>
  <c r="W10" i="4" s="1"/>
  <c r="F9" i="5" s="1"/>
  <c r="G9" i="5" s="1"/>
  <c r="X10" i="4"/>
  <c r="Y10" i="4"/>
  <c r="P11" i="4"/>
  <c r="S11" i="4" s="1"/>
  <c r="V11" i="4" s="1"/>
  <c r="W11" i="4" s="1"/>
  <c r="F10" i="5" s="1"/>
  <c r="G10" i="5" s="1"/>
  <c r="X11" i="4"/>
  <c r="Y11" i="4"/>
  <c r="P12" i="4"/>
  <c r="S12" i="4" s="1"/>
  <c r="V12" i="4" s="1"/>
  <c r="W12" i="4" s="1"/>
  <c r="F11" i="5" s="1"/>
  <c r="X12" i="4"/>
  <c r="Y12" i="4"/>
  <c r="P13" i="4"/>
  <c r="S13" i="4" s="1"/>
  <c r="V13" i="4" s="1"/>
  <c r="W13" i="4" s="1"/>
  <c r="F12" i="5" s="1"/>
  <c r="G12" i="5" s="1"/>
  <c r="X13" i="4"/>
  <c r="Y13" i="4"/>
  <c r="P14" i="4"/>
  <c r="S14" i="4" s="1"/>
  <c r="V14" i="4" s="1"/>
  <c r="W14" i="4" s="1"/>
  <c r="F13" i="5" s="1"/>
  <c r="X14" i="4"/>
  <c r="Y14" i="4"/>
  <c r="P15" i="4"/>
  <c r="S15" i="4" s="1"/>
  <c r="V15" i="4" s="1"/>
  <c r="W15" i="4" s="1"/>
  <c r="F14" i="5" s="1"/>
  <c r="X15" i="4"/>
  <c r="Y15" i="4"/>
  <c r="P16" i="4"/>
  <c r="S16" i="4" s="1"/>
  <c r="V16" i="4" s="1"/>
  <c r="W16" i="4" s="1"/>
  <c r="F15" i="5" s="1"/>
  <c r="X16" i="4"/>
  <c r="Y16" i="4"/>
  <c r="P20" i="4"/>
  <c r="S20" i="4" s="1"/>
  <c r="V20" i="4" s="1"/>
  <c r="W20" i="4" s="1"/>
  <c r="F19" i="5" s="1"/>
  <c r="X20" i="4"/>
  <c r="Y20" i="4"/>
  <c r="P21" i="4"/>
  <c r="S21" i="4" s="1"/>
  <c r="V21" i="4" s="1"/>
  <c r="W21" i="4" s="1"/>
  <c r="F20" i="5" s="1"/>
  <c r="X21" i="4"/>
  <c r="Y21" i="4"/>
  <c r="P22" i="4"/>
  <c r="S22" i="4" s="1"/>
  <c r="V22" i="4" s="1"/>
  <c r="W22" i="4" s="1"/>
  <c r="F21" i="5" s="1"/>
  <c r="X22" i="4"/>
  <c r="Y22" i="4"/>
  <c r="P23" i="4"/>
  <c r="S23" i="4" s="1"/>
  <c r="V23" i="4" s="1"/>
  <c r="W23" i="4" s="1"/>
  <c r="F22" i="5" s="1"/>
  <c r="X23" i="4"/>
  <c r="Y23" i="4"/>
  <c r="P24" i="4"/>
  <c r="S24" i="4" s="1"/>
  <c r="V24" i="4" s="1"/>
  <c r="W24" i="4" s="1"/>
  <c r="F23" i="5" s="1"/>
  <c r="X24" i="4"/>
  <c r="Y24" i="4"/>
  <c r="P25" i="4"/>
  <c r="S25" i="4" s="1"/>
  <c r="V25" i="4" s="1"/>
  <c r="W25" i="4" s="1"/>
  <c r="F24" i="5" s="1"/>
  <c r="X25" i="4"/>
  <c r="Y25" i="4"/>
  <c r="P9" i="3"/>
  <c r="S9" i="3" s="1"/>
  <c r="V9" i="3" s="1"/>
  <c r="W9" i="3" s="1"/>
  <c r="E8" i="5" s="1"/>
  <c r="Y9" i="3"/>
  <c r="X9" i="3"/>
  <c r="AB9" i="3" s="1"/>
  <c r="AC9" i="3" s="1"/>
  <c r="I8" i="5" s="1"/>
  <c r="P12" i="3"/>
  <c r="S12" i="3" s="1"/>
  <c r="V12" i="3" s="1"/>
  <c r="W12" i="3" s="1"/>
  <c r="E11" i="5" s="1"/>
  <c r="X12" i="3"/>
  <c r="Y12" i="3"/>
  <c r="P13" i="3"/>
  <c r="S13" i="3" s="1"/>
  <c r="V13" i="3" s="1"/>
  <c r="W13" i="3" s="1"/>
  <c r="E12" i="5" s="1"/>
  <c r="X13" i="3"/>
  <c r="Y13" i="3"/>
  <c r="P14" i="3"/>
  <c r="S14" i="3" s="1"/>
  <c r="V14" i="3" s="1"/>
  <c r="W14" i="3" s="1"/>
  <c r="E13" i="5" s="1"/>
  <c r="X14" i="3"/>
  <c r="Y14" i="3"/>
  <c r="P8" i="3"/>
  <c r="S8" i="3" s="1"/>
  <c r="V8" i="3" s="1"/>
  <c r="W8" i="3" s="1"/>
  <c r="E7" i="5" s="1"/>
  <c r="G7" i="5" s="1"/>
  <c r="X8" i="3"/>
  <c r="Y8" i="3"/>
  <c r="P11" i="3"/>
  <c r="S11" i="3" s="1"/>
  <c r="V11" i="3" s="1"/>
  <c r="W11" i="3" s="1"/>
  <c r="E10" i="5" s="1"/>
  <c r="Y11" i="3"/>
  <c r="X11" i="3"/>
  <c r="P15" i="3"/>
  <c r="S15" i="3" s="1"/>
  <c r="V15" i="3" s="1"/>
  <c r="W15" i="3" s="1"/>
  <c r="E14" i="5" s="1"/>
  <c r="X15" i="3"/>
  <c r="Y15" i="3"/>
  <c r="P16" i="3"/>
  <c r="S16" i="3" s="1"/>
  <c r="V16" i="3" s="1"/>
  <c r="W16" i="3" s="1"/>
  <c r="E15" i="5" s="1"/>
  <c r="X16" i="3"/>
  <c r="Y16" i="3"/>
  <c r="P17" i="3"/>
  <c r="S17" i="3" s="1"/>
  <c r="V17" i="3" s="1"/>
  <c r="W17" i="3" s="1"/>
  <c r="E16" i="5" s="1"/>
  <c r="X17" i="3"/>
  <c r="Y17" i="3"/>
  <c r="P18" i="3"/>
  <c r="S18" i="3" s="1"/>
  <c r="V18" i="3" s="1"/>
  <c r="W18" i="3" s="1"/>
  <c r="E17" i="5" s="1"/>
  <c r="X18" i="3"/>
  <c r="Y18" i="3"/>
  <c r="P19" i="3"/>
  <c r="S19" i="3" s="1"/>
  <c r="V19" i="3" s="1"/>
  <c r="W19" i="3" s="1"/>
  <c r="E18" i="5" s="1"/>
  <c r="X19" i="3"/>
  <c r="Y19" i="3"/>
  <c r="P20" i="3"/>
  <c r="S20" i="3" s="1"/>
  <c r="V20" i="3" s="1"/>
  <c r="W20" i="3" s="1"/>
  <c r="E19" i="5" s="1"/>
  <c r="X20" i="3"/>
  <c r="Y20" i="3"/>
  <c r="P21" i="3"/>
  <c r="S21" i="3" s="1"/>
  <c r="V21" i="3" s="1"/>
  <c r="W21" i="3" s="1"/>
  <c r="E20" i="5" s="1"/>
  <c r="X21" i="3"/>
  <c r="Y21" i="3"/>
  <c r="P22" i="3"/>
  <c r="S22" i="3" s="1"/>
  <c r="V22" i="3" s="1"/>
  <c r="W22" i="3" s="1"/>
  <c r="E21" i="5" s="1"/>
  <c r="X22" i="3"/>
  <c r="Y22" i="3"/>
  <c r="P23" i="3"/>
  <c r="S23" i="3" s="1"/>
  <c r="V23" i="3" s="1"/>
  <c r="W23" i="3" s="1"/>
  <c r="E22" i="5" s="1"/>
  <c r="X23" i="3"/>
  <c r="Y23" i="3"/>
  <c r="P24" i="3"/>
  <c r="S24" i="3" s="1"/>
  <c r="V24" i="3" s="1"/>
  <c r="W24" i="3" s="1"/>
  <c r="E23" i="5" s="1"/>
  <c r="X24" i="3"/>
  <c r="Y24" i="3"/>
  <c r="P25" i="3"/>
  <c r="S25" i="3" s="1"/>
  <c r="V25" i="3" s="1"/>
  <c r="W25" i="3" s="1"/>
  <c r="E24" i="5" s="1"/>
  <c r="X25" i="3"/>
  <c r="Y25" i="3"/>
  <c r="P15" i="2"/>
  <c r="S15" i="2" s="1"/>
  <c r="V15" i="2" s="1"/>
  <c r="W15" i="2" s="1"/>
  <c r="D14" i="5" s="1"/>
  <c r="X15" i="2"/>
  <c r="Y15" i="2"/>
  <c r="Y7" i="2"/>
  <c r="X7" i="2"/>
  <c r="AB7" i="2" s="1"/>
  <c r="AC7" i="2" s="1"/>
  <c r="H6" i="5" s="1"/>
  <c r="P7" i="2"/>
  <c r="S7" i="2" s="1"/>
  <c r="V7" i="2" s="1"/>
  <c r="W7" i="2" s="1"/>
  <c r="D6" i="5" s="1"/>
  <c r="Y17" i="2"/>
  <c r="P17" i="2"/>
  <c r="S17" i="2" s="1"/>
  <c r="V17" i="2" s="1"/>
  <c r="W17" i="2" s="1"/>
  <c r="D16" i="5" s="1"/>
  <c r="X17" i="2"/>
  <c r="AB17" i="2" s="1"/>
  <c r="AC17" i="2" s="1"/>
  <c r="H16" i="5" s="1"/>
  <c r="Y12" i="2"/>
  <c r="X12" i="2"/>
  <c r="P12" i="2"/>
  <c r="S12" i="2" s="1"/>
  <c r="V12" i="2" s="1"/>
  <c r="W12" i="2" s="1"/>
  <c r="D11" i="5" s="1"/>
  <c r="P14" i="2"/>
  <c r="S14" i="2" s="1"/>
  <c r="V14" i="2" s="1"/>
  <c r="W14" i="2" s="1"/>
  <c r="D13" i="5" s="1"/>
  <c r="X14" i="2"/>
  <c r="Y14" i="2"/>
  <c r="P16" i="2"/>
  <c r="S16" i="2" s="1"/>
  <c r="V16" i="2" s="1"/>
  <c r="W16" i="2" s="1"/>
  <c r="D15" i="5" s="1"/>
  <c r="X16" i="2"/>
  <c r="Y16" i="2"/>
  <c r="P22" i="2"/>
  <c r="S22" i="2" s="1"/>
  <c r="V22" i="2" s="1"/>
  <c r="W22" i="2" s="1"/>
  <c r="D21" i="5" s="1"/>
  <c r="X22" i="2"/>
  <c r="Y22" i="2"/>
  <c r="P23" i="2"/>
  <c r="S23" i="2" s="1"/>
  <c r="V23" i="2" s="1"/>
  <c r="W23" i="2" s="1"/>
  <c r="D22" i="5" s="1"/>
  <c r="X23" i="2"/>
  <c r="Y23" i="2"/>
  <c r="Y24" i="2"/>
  <c r="P24" i="2"/>
  <c r="S24" i="2" s="1"/>
  <c r="V24" i="2" s="1"/>
  <c r="W24" i="2" s="1"/>
  <c r="D23" i="5" s="1"/>
  <c r="X24" i="2"/>
  <c r="AB24" i="2" s="1"/>
  <c r="AC24" i="2" s="1"/>
  <c r="H23" i="5" s="1"/>
  <c r="P18" i="2"/>
  <c r="S18" i="2" s="1"/>
  <c r="V18" i="2" s="1"/>
  <c r="W18" i="2" s="1"/>
  <c r="D17" i="5" s="1"/>
  <c r="X18" i="2"/>
  <c r="Y18" i="2"/>
  <c r="Y20" i="2"/>
  <c r="X20" i="2"/>
  <c r="AB20" i="2" s="1"/>
  <c r="AC20" i="2" s="1"/>
  <c r="H19" i="5" s="1"/>
  <c r="P20" i="2"/>
  <c r="S20" i="2" s="1"/>
  <c r="V20" i="2" s="1"/>
  <c r="W20" i="2" s="1"/>
  <c r="D19" i="5" s="1"/>
  <c r="Y19" i="2"/>
  <c r="P19" i="2"/>
  <c r="S19" i="2" s="1"/>
  <c r="V19" i="2" s="1"/>
  <c r="W19" i="2" s="1"/>
  <c r="D18" i="5" s="1"/>
  <c r="X19" i="2"/>
  <c r="AB19" i="2" s="1"/>
  <c r="AC19" i="2" s="1"/>
  <c r="H18" i="5" s="1"/>
  <c r="Y9" i="2"/>
  <c r="P9" i="2"/>
  <c r="S9" i="2" s="1"/>
  <c r="V9" i="2" s="1"/>
  <c r="W9" i="2" s="1"/>
  <c r="D8" i="5" s="1"/>
  <c r="X9" i="2"/>
  <c r="AB9" i="2" s="1"/>
  <c r="AC9" i="2" s="1"/>
  <c r="H8" i="5" s="1"/>
  <c r="P21" i="2"/>
  <c r="S21" i="2" s="1"/>
  <c r="V21" i="2" s="1"/>
  <c r="W21" i="2" s="1"/>
  <c r="D20" i="5" s="1"/>
  <c r="X21" i="2"/>
  <c r="Y21" i="2"/>
  <c r="P25" i="2"/>
  <c r="S25" i="2" s="1"/>
  <c r="V25" i="2" s="1"/>
  <c r="W25" i="2" s="1"/>
  <c r="D24" i="5" s="1"/>
  <c r="X25" i="2"/>
  <c r="Y25" i="2"/>
  <c r="P7" i="4"/>
  <c r="S7" i="4" s="1"/>
  <c r="V7" i="4" s="1"/>
  <c r="W7" i="4" s="1"/>
  <c r="F6" i="5" s="1"/>
  <c r="X7" i="4"/>
  <c r="Y7" i="4"/>
  <c r="G26" i="5"/>
  <c r="Q36" i="4"/>
  <c r="R36" i="4"/>
  <c r="Z36" i="4"/>
  <c r="AA36" i="4"/>
  <c r="AB8" i="4"/>
  <c r="AC8" i="4" s="1"/>
  <c r="J7" i="5" s="1"/>
  <c r="AB18" i="4"/>
  <c r="AC18" i="4" s="1"/>
  <c r="J17" i="5" s="1"/>
  <c r="AB19" i="4"/>
  <c r="AC19" i="4" s="1"/>
  <c r="J18" i="5" s="1"/>
  <c r="Q36" i="3"/>
  <c r="AA36" i="3"/>
  <c r="R36" i="3"/>
  <c r="Z36" i="3"/>
  <c r="AB10" i="3"/>
  <c r="AC10" i="3" s="1"/>
  <c r="I9" i="5" s="1"/>
  <c r="AB11" i="2"/>
  <c r="AC11" i="2" s="1"/>
  <c r="H10" i="5" s="1"/>
  <c r="R36" i="2"/>
  <c r="Z36" i="2"/>
  <c r="AA36" i="2"/>
  <c r="Q36" i="2"/>
  <c r="AB8" i="2"/>
  <c r="AC8" i="2" s="1"/>
  <c r="H7" i="5" s="1"/>
  <c r="AB32" i="4"/>
  <c r="AC32" i="4" s="1"/>
  <c r="J31" i="5" s="1"/>
  <c r="K31" i="5" s="1"/>
  <c r="AB31" i="4"/>
  <c r="AC31" i="4" s="1"/>
  <c r="J30" i="5" s="1"/>
  <c r="K30" i="5" s="1"/>
  <c r="E42" i="5" s="1"/>
  <c r="AB28" i="3"/>
  <c r="AC28" i="3" s="1"/>
  <c r="I27" i="5" s="1"/>
  <c r="K27" i="5" s="1"/>
  <c r="AB26" i="3"/>
  <c r="AC26" i="3" s="1"/>
  <c r="I25" i="5" s="1"/>
  <c r="K25" i="5" s="1"/>
  <c r="AB34" i="4"/>
  <c r="AC34" i="4" s="1"/>
  <c r="J33" i="5" s="1"/>
  <c r="K33" i="5" s="1"/>
  <c r="K26" i="5"/>
  <c r="Y36" i="3" l="1"/>
  <c r="Y36" i="2"/>
  <c r="AB13" i="4"/>
  <c r="AC13" i="4" s="1"/>
  <c r="J12" i="5" s="1"/>
  <c r="G14" i="5"/>
  <c r="E41" i="5"/>
  <c r="AB11" i="3"/>
  <c r="AC11" i="3" s="1"/>
  <c r="I10" i="5" s="1"/>
  <c r="AB16" i="3"/>
  <c r="AC16" i="3" s="1"/>
  <c r="I15" i="5" s="1"/>
  <c r="AB12" i="2"/>
  <c r="AC12" i="2" s="1"/>
  <c r="H11" i="5" s="1"/>
  <c r="K11" i="5" s="1"/>
  <c r="AB12" i="3"/>
  <c r="AC12" i="3" s="1"/>
  <c r="I11" i="5" s="1"/>
  <c r="G15" i="5"/>
  <c r="E43" i="5"/>
  <c r="V26" i="4"/>
  <c r="W26" i="4" s="1"/>
  <c r="F25" i="5" s="1"/>
  <c r="S6" i="4"/>
  <c r="P36" i="4"/>
  <c r="AB6" i="4"/>
  <c r="X36" i="4"/>
  <c r="P36" i="3"/>
  <c r="S6" i="3"/>
  <c r="AB6" i="3"/>
  <c r="X36" i="3"/>
  <c r="X36" i="2"/>
  <c r="AB6" i="2"/>
  <c r="S6" i="2"/>
  <c r="P36" i="2"/>
  <c r="U26" i="3"/>
  <c r="T36" i="3"/>
  <c r="AB14" i="4"/>
  <c r="AC14" i="4" s="1"/>
  <c r="J13" i="5" s="1"/>
  <c r="AB15" i="4"/>
  <c r="AC15" i="4" s="1"/>
  <c r="J14" i="5" s="1"/>
  <c r="AB16" i="4"/>
  <c r="AC16" i="4" s="1"/>
  <c r="J15" i="5" s="1"/>
  <c r="AB20" i="4"/>
  <c r="AC20" i="4" s="1"/>
  <c r="J19" i="5" s="1"/>
  <c r="AB21" i="4"/>
  <c r="AC21" i="4" s="1"/>
  <c r="J20" i="5" s="1"/>
  <c r="AB22" i="4"/>
  <c r="AC22" i="4" s="1"/>
  <c r="J21" i="5" s="1"/>
  <c r="AB23" i="4"/>
  <c r="AC23" i="4" s="1"/>
  <c r="J22" i="5" s="1"/>
  <c r="AB24" i="4"/>
  <c r="AC24" i="4" s="1"/>
  <c r="J23" i="5" s="1"/>
  <c r="AB25" i="4"/>
  <c r="AC25" i="4" s="1"/>
  <c r="J24" i="5" s="1"/>
  <c r="AB10" i="4"/>
  <c r="AC10" i="4" s="1"/>
  <c r="J9" i="5" s="1"/>
  <c r="K9" i="5" s="1"/>
  <c r="AB13" i="3"/>
  <c r="AC13" i="3" s="1"/>
  <c r="I12" i="5" s="1"/>
  <c r="K12" i="5" s="1"/>
  <c r="AB14" i="3"/>
  <c r="AC14" i="3" s="1"/>
  <c r="I13" i="5" s="1"/>
  <c r="AB8" i="3"/>
  <c r="AC8" i="3" s="1"/>
  <c r="I7" i="5" s="1"/>
  <c r="K7" i="5" s="1"/>
  <c r="AB15" i="3"/>
  <c r="AC15" i="3" s="1"/>
  <c r="I14" i="5" s="1"/>
  <c r="AB17" i="3"/>
  <c r="AC17" i="3" s="1"/>
  <c r="I16" i="5" s="1"/>
  <c r="K16" i="5" s="1"/>
  <c r="AB20" i="3"/>
  <c r="AC20" i="3" s="1"/>
  <c r="I19" i="5" s="1"/>
  <c r="AB21" i="3"/>
  <c r="AC21" i="3" s="1"/>
  <c r="I20" i="5" s="1"/>
  <c r="AB24" i="3"/>
  <c r="AC24" i="3" s="1"/>
  <c r="I23" i="5" s="1"/>
  <c r="AB25" i="3"/>
  <c r="AC25" i="3" s="1"/>
  <c r="I24" i="5" s="1"/>
  <c r="AB18" i="3"/>
  <c r="AC18" i="3" s="1"/>
  <c r="I17" i="5" s="1"/>
  <c r="AB19" i="3"/>
  <c r="AC19" i="3" s="1"/>
  <c r="I18" i="5" s="1"/>
  <c r="K18" i="5" s="1"/>
  <c r="AB22" i="3"/>
  <c r="AC22" i="3" s="1"/>
  <c r="I21" i="5" s="1"/>
  <c r="AB23" i="3"/>
  <c r="AC23" i="3" s="1"/>
  <c r="I22" i="5" s="1"/>
  <c r="Y36" i="4"/>
  <c r="AB11" i="4"/>
  <c r="AC11" i="4" s="1"/>
  <c r="J10" i="5" s="1"/>
  <c r="AB15" i="2"/>
  <c r="AC15" i="2" s="1"/>
  <c r="H14" i="5" s="1"/>
  <c r="G6" i="5"/>
  <c r="G16" i="5"/>
  <c r="G11" i="5"/>
  <c r="G13" i="5"/>
  <c r="AB14" i="2"/>
  <c r="AC14" i="2" s="1"/>
  <c r="H13" i="5" s="1"/>
  <c r="AB16" i="2"/>
  <c r="AC16" i="2" s="1"/>
  <c r="H15" i="5" s="1"/>
  <c r="G21" i="5"/>
  <c r="AB22" i="2"/>
  <c r="AC22" i="2" s="1"/>
  <c r="H21" i="5" s="1"/>
  <c r="G22" i="5"/>
  <c r="AB23" i="2"/>
  <c r="AC23" i="2" s="1"/>
  <c r="H22" i="5" s="1"/>
  <c r="G23" i="5"/>
  <c r="AB9" i="4"/>
  <c r="AC9" i="4" s="1"/>
  <c r="J8" i="5" s="1"/>
  <c r="G17" i="5"/>
  <c r="AB18" i="2"/>
  <c r="AC18" i="2" s="1"/>
  <c r="H17" i="5" s="1"/>
  <c r="G19" i="5"/>
  <c r="G18" i="5"/>
  <c r="G8" i="5"/>
  <c r="K8" i="5"/>
  <c r="G20" i="5"/>
  <c r="AB21" i="2"/>
  <c r="AC21" i="2" s="1"/>
  <c r="H20" i="5" s="1"/>
  <c r="G24" i="5"/>
  <c r="AB25" i="2"/>
  <c r="AC25" i="2" s="1"/>
  <c r="H24" i="5" s="1"/>
  <c r="AB7" i="4"/>
  <c r="AC7" i="4" s="1"/>
  <c r="J6" i="5" s="1"/>
  <c r="K6" i="5" s="1"/>
  <c r="AB12" i="4"/>
  <c r="AC12" i="4" s="1"/>
  <c r="J11" i="5" s="1"/>
  <c r="U31" i="4"/>
  <c r="T36" i="4"/>
  <c r="V31" i="4" l="1"/>
  <c r="W31" i="4" s="1"/>
  <c r="F30" i="5" s="1"/>
  <c r="G30" i="5" s="1"/>
  <c r="D42" i="5" s="1"/>
  <c r="U36" i="4"/>
  <c r="K19" i="5"/>
  <c r="K23" i="5"/>
  <c r="K10" i="5"/>
  <c r="K13" i="5"/>
  <c r="V6" i="4"/>
  <c r="S36" i="4"/>
  <c r="AC6" i="4"/>
  <c r="AB36" i="4"/>
  <c r="V6" i="3"/>
  <c r="S36" i="3"/>
  <c r="AC6" i="3"/>
  <c r="AB36" i="3"/>
  <c r="AC6" i="2"/>
  <c r="AB36" i="2"/>
  <c r="V6" i="2"/>
  <c r="S36" i="2"/>
  <c r="V26" i="3"/>
  <c r="W26" i="3" s="1"/>
  <c r="E25" i="5" s="1"/>
  <c r="G25" i="5" s="1"/>
  <c r="D41" i="5" s="1"/>
  <c r="U36" i="3"/>
  <c r="K14" i="5"/>
  <c r="K15" i="5"/>
  <c r="K21" i="5"/>
  <c r="K22" i="5"/>
  <c r="D40" i="5"/>
  <c r="K24" i="5"/>
  <c r="K17" i="5"/>
  <c r="K20" i="5"/>
  <c r="E40" i="5" l="1"/>
  <c r="W6" i="4"/>
  <c r="V36" i="4"/>
  <c r="J5" i="5"/>
  <c r="J35" i="5" s="1"/>
  <c r="AC36" i="4"/>
  <c r="W6" i="3"/>
  <c r="V36" i="3"/>
  <c r="I5" i="5"/>
  <c r="I35" i="5" s="1"/>
  <c r="AC36" i="3"/>
  <c r="H5" i="5"/>
  <c r="AC36" i="2"/>
  <c r="W6" i="2"/>
  <c r="V36" i="2"/>
  <c r="F5" i="5" l="1"/>
  <c r="F35" i="5" s="1"/>
  <c r="W36" i="4"/>
  <c r="E5" i="5"/>
  <c r="E35" i="5" s="1"/>
  <c r="W36" i="3"/>
  <c r="K5" i="5"/>
  <c r="H35" i="5"/>
  <c r="W36" i="2"/>
  <c r="D5" i="5"/>
  <c r="E39" i="5" l="1"/>
  <c r="K35" i="5"/>
  <c r="G5" i="5"/>
  <c r="D35" i="5"/>
  <c r="E44" i="5" l="1"/>
  <c r="F39" i="5" s="1"/>
  <c r="D39" i="5"/>
  <c r="D44" i="5" s="1"/>
  <c r="G35" i="5"/>
  <c r="F40" i="5" l="1"/>
  <c r="F42" i="5"/>
  <c r="F43" i="5"/>
  <c r="F41" i="5"/>
  <c r="F44" i="5" l="1"/>
</calcChain>
</file>

<file path=xl/sharedStrings.xml><?xml version="1.0" encoding="utf-8"?>
<sst xmlns="http://schemas.openxmlformats.org/spreadsheetml/2006/main" count="336" uniqueCount="176">
  <si>
    <t>Government Rates &amp; Contribution Reference — NCR (Metro Manila), 30-Employee Payroll</t>
  </si>
  <si>
    <t>Rates as in force as of October 26, 2026, for the Aug – Oct 2026 quarter. Yellow cells are inputs; every monthly Payroll Register pulls its rates from this sheet. Wage orders and contribution tables change periodically — re-verify against DOLE/SSS/PhilHealth/Pag-IBIG/BIR before each payroll run.</t>
  </si>
  <si>
    <t>NCR Minimum Wage — Wage Order No. NCR-28 (effective September 26, 2026)</t>
  </si>
  <si>
    <t>Classification</t>
  </si>
  <si>
    <t>Daily Rate (8 hrs)</t>
  </si>
  <si>
    <t>Hourly Rate</t>
  </si>
  <si>
    <t>Non-agriculture, &gt;15 workers — NEW (from Sept 26, 2026)</t>
  </si>
  <si>
    <t>Non-agriculture, &gt;15 workers — PREVIOUS</t>
  </si>
  <si>
    <t>NCR-28 effective date</t>
  </si>
  <si>
    <t>With 30 employees the business has more than 15 workers, so the Non-agriculture tier applies to everyone (the ₱718 / ₱658 small-retail tier used in the earlier 5-employee file no longer applies). Confirm classification with DOLE-NCR.</t>
  </si>
  <si>
    <t>Minimum Wage by Month (used for all Minimum Wage Earners)</t>
  </si>
  <si>
    <t>Month</t>
  </si>
  <si>
    <t>Month start</t>
  </si>
  <si>
    <t>Days at old rate</t>
  </si>
  <si>
    <t>Blended daily rate</t>
  </si>
  <si>
    <t>Hourly rate</t>
  </si>
  <si>
    <t>August 2026</t>
  </si>
  <si>
    <t>September 2026</t>
  </si>
  <si>
    <t>October 2026</t>
  </si>
  <si>
    <t>Blended daily rate = calendar-day weighted average of old and new minimum (September: 25 days at ₱695, 5 days at ₱755) — an approximation for monthly payroll. For exact compliance, pay actual days worked before Sept 26 at the old rate and from Sept 26 at the new rate.</t>
  </si>
  <si>
    <t>Allowances (company policy — placeholders, edit to your actual policy)</t>
  </si>
  <si>
    <t>Meal allowance per working day (all employees)</t>
  </si>
  <si>
    <t>Per-diem by department (per trip day)</t>
  </si>
  <si>
    <t>Rate</t>
  </si>
  <si>
    <t>Delivery – Luzon</t>
  </si>
  <si>
    <t>Delivery – Samar</t>
  </si>
  <si>
    <t>Allowances are treated as non-taxable and are NOT included in the SSS / PhilHealth / Pag-IBIG contribution base (meal allowance within de minimis limits; per diem as substantiated travel reimbursement, higher for the longer inter-island Samar runs via RORO). Confirm treatment with your accountant — amounts above de minimis limits can become taxable.</t>
  </si>
  <si>
    <t>SSS Contribution (2026) — RA 11199, in force since January 2025</t>
  </si>
  <si>
    <t>Total contribution rate</t>
  </si>
  <si>
    <t>Employee share</t>
  </si>
  <si>
    <t>Employer share</t>
  </si>
  <si>
    <t>Minimum Monthly Salary Credit (MSC)</t>
  </si>
  <si>
    <t>Maximum Monthly Salary Credit (MSC)</t>
  </si>
  <si>
    <t>EC tier threshold (MSC)</t>
  </si>
  <si>
    <t>EC — below threshold</t>
  </si>
  <si>
    <t>EC — at/above threshold</t>
  </si>
  <si>
    <t>PhilHealth Premium (2026) — RA 11223</t>
  </si>
  <si>
    <t>Total premium rate</t>
  </si>
  <si>
    <t>Premium floor (basic salary basis)</t>
  </si>
  <si>
    <t>Premium ceiling (basic salary basis)</t>
  </si>
  <si>
    <t>Pag-IBIG / HDMF Contribution (2026) — RA 9679</t>
  </si>
  <si>
    <t>Employee share (monthly comp. &gt; ₱1,500)</t>
  </si>
  <si>
    <t>Employee share (monthly comp. ≤ ₱1,500)</t>
  </si>
  <si>
    <t>Monthly Fund Salary cap</t>
  </si>
  <si>
    <t>BIR Monthly Withholding Tax Table (TRAIN Law, RR 11-2018 Annex E, in force since Jan 1, 2023)</t>
  </si>
  <si>
    <t>Monthly Taxable Income Bracket</t>
  </si>
  <si>
    <t>Base Tax</t>
  </si>
  <si>
    <t>Rate on Excess</t>
  </si>
  <si>
    <t>Over</t>
  </si>
  <si>
    <t>₱0 – ₱20,833</t>
  </si>
  <si>
    <t>₱20,833 – ₱33,332</t>
  </si>
  <si>
    <t>₱33,333 – ₱66,666</t>
  </si>
  <si>
    <t>₱66,667 – ₱166,666</t>
  </si>
  <si>
    <t>₱166,667 – ₱666,666</t>
  </si>
  <si>
    <t>Over ₱666,667</t>
  </si>
  <si>
    <t>Minimum Wage Earners (MWEs) are exempt from withholding tax on statutory basic pay, holiday pay, overtime and night differential (RA 9504 / TRAIN). Employees paid ABOVE the statutory minimum (drivers, supervisors, admin) are not MWEs, so their taxable income is subject to the table. SSS, PhilHealth and Pag-IBIG apply to everyone.</t>
  </si>
  <si>
    <t>Roster Note</t>
  </si>
  <si>
    <t>30 employees: 12 Store, 8 Warehouse, 6 Delivery (3 Luzon routes, 3 Samar routes), 4 Admin / Supervisory. Names are left blank for you to fill in on the Aug 2026 sheet — they carry over automatically to Sep, Oct and the Summary. Hours, OT and trip days are illustrative; overwrite with actuals. 13th-month pay (due by Dec 24) is not part of this quarter.</t>
  </si>
  <si>
    <t>Sources</t>
  </si>
  <si>
    <t>• DOLE-NCR / RTWPB-NCR, Wage Order No. NCR-28 (effective Sept 26, 2026; ₱695 → ₱755 non-agriculture) — philstar.com/headlines/2026/09/27/2559226/ncr-wage-hike-takes-effect; emerhub.com/news/metro-manila-minimum-wage-rises-to-755-what-employers-need-to-update</t>
  </si>
  <si>
    <t>• Republic Act No. 11199 (Social Security Act of 2018); SSS schedule effective Jan 1, 2025 — sss.gov.ph</t>
  </si>
  <si>
    <t>• Republic Act No. 11223 (Universal Health Care Act); PhilHealth 5% premium — philhealth.gov.ph</t>
  </si>
  <si>
    <t>• Republic Act No. 9679 (HDMF Law of 2009); Pag-IBIG contribution table — pagibigfund.gov.ph</t>
  </si>
  <si>
    <t>• BIR Revised Withholding Tax Table, RR 11-2018 Annex E (TRAIN Law), in force since Jan 1, 2023 — bir.gov.ph</t>
  </si>
  <si>
    <t>• Meal allowance and per-diem amounts: assumptions by the preparer, not statutory figures.</t>
  </si>
  <si>
    <t>Employee Payroll Register — August 2026</t>
  </si>
  <si>
    <t>Blue = input; black = formula; green = linked from another sheet. TYPE EMPLOYEE NAMES in the yellow Name cells on THIS sheet — they carry over to Sep, Oct and the Summary. Green-tinted rows = delivery drivers. Regular Hours default to 208 (26 days × 8 hrs). OT is the ordinary 125% premium. Per diem = Trip Days × the department rate on Reference Rates. Allowances are non-taxable and outside the SSS/PhilHealth/Pag-IBIG base. Printed pages cover columns A–W (employee-facing); employer-cost columns X–AC are on screen only.</t>
  </si>
  <si>
    <t>Pay Period:</t>
  </si>
  <si>
    <t>2026-08-01 to 2026-08-31</t>
  </si>
  <si>
    <t>Employee ID</t>
  </si>
  <si>
    <t>Employee Name</t>
  </si>
  <si>
    <t>Department</t>
  </si>
  <si>
    <t>Position</t>
  </si>
  <si>
    <t>MWE
(Y/N)</t>
  </si>
  <si>
    <t>Hourly
Rate (₱)</t>
  </si>
  <si>
    <t>Regular
Hours</t>
  </si>
  <si>
    <t>OT Hours
(125%)</t>
  </si>
  <si>
    <t>Trip Days
(per diem)</t>
  </si>
  <si>
    <t>Basic Pay</t>
  </si>
  <si>
    <t>OT Pay</t>
  </si>
  <si>
    <t>GROSS PAY</t>
  </si>
  <si>
    <t>Meal
Allowance</t>
  </si>
  <si>
    <t>Per Diem</t>
  </si>
  <si>
    <t>SSS MSC</t>
  </si>
  <si>
    <t>SSS – EE</t>
  </si>
  <si>
    <t>PhilHealth
– EE</t>
  </si>
  <si>
    <t>Pag-IBIG
– EE</t>
  </si>
  <si>
    <t>Total EE
Contrib.</t>
  </si>
  <si>
    <t>Taxable
Income</t>
  </si>
  <si>
    <t>Withholding
Tax</t>
  </si>
  <si>
    <t>Total
Deductions</t>
  </si>
  <si>
    <t>NET PAY</t>
  </si>
  <si>
    <t>SSS – ER</t>
  </si>
  <si>
    <t>SSS – EC</t>
  </si>
  <si>
    <t>PhilHealth
– ER</t>
  </si>
  <si>
    <t>Pag-IBIG
– ER</t>
  </si>
  <si>
    <t>Total ER
Contrib.</t>
  </si>
  <si>
    <t>TOTAL COST
TO COMPANY</t>
  </si>
  <si>
    <t>EMP-001</t>
  </si>
  <si>
    <t>Store</t>
  </si>
  <si>
    <t>Cashier</t>
  </si>
  <si>
    <t>Y</t>
  </si>
  <si>
    <t>EMP-002</t>
  </si>
  <si>
    <t>EMP-003</t>
  </si>
  <si>
    <t>EMP-004</t>
  </si>
  <si>
    <t>EMP-005</t>
  </si>
  <si>
    <t>Sales Clerk</t>
  </si>
  <si>
    <t>EMP-006</t>
  </si>
  <si>
    <t>EMP-007</t>
  </si>
  <si>
    <t>EMP-008</t>
  </si>
  <si>
    <t>EMP-009</t>
  </si>
  <si>
    <t>EMP-010</t>
  </si>
  <si>
    <t>Section Attendant (Frozen / Egg)</t>
  </si>
  <si>
    <t>EMP-011</t>
  </si>
  <si>
    <t>EMP-012</t>
  </si>
  <si>
    <t>EMP-013</t>
  </si>
  <si>
    <t>Warehouse</t>
  </si>
  <si>
    <t>Stock Clerk</t>
  </si>
  <si>
    <t>EMP-014</t>
  </si>
  <si>
    <t>EMP-015</t>
  </si>
  <si>
    <t>EMP-016</t>
  </si>
  <si>
    <t>Warehouse Helper / Loader</t>
  </si>
  <si>
    <t>EMP-017</t>
  </si>
  <si>
    <t>EMP-018</t>
  </si>
  <si>
    <t>EMP-019</t>
  </si>
  <si>
    <t>Inventory Clerk</t>
  </si>
  <si>
    <t>EMP-020</t>
  </si>
  <si>
    <t>EMP-021</t>
  </si>
  <si>
    <t>Delivery Driver – Luzon Routes</t>
  </si>
  <si>
    <t>N</t>
  </si>
  <si>
    <t>EMP-022</t>
  </si>
  <si>
    <t>EMP-023</t>
  </si>
  <si>
    <t>EMP-024</t>
  </si>
  <si>
    <t>Delivery Driver – Samar Routes</t>
  </si>
  <si>
    <t>EMP-025</t>
  </si>
  <si>
    <t>EMP-026</t>
  </si>
  <si>
    <t>EMP-027</t>
  </si>
  <si>
    <t>Admin / Supervisory</t>
  </si>
  <si>
    <t>Store Supervisor</t>
  </si>
  <si>
    <t>EMP-028</t>
  </si>
  <si>
    <t>Warehouse &amp; Logistics Supervisor</t>
  </si>
  <si>
    <t>EMP-029</t>
  </si>
  <si>
    <t>Admin &amp; Payroll Officer</t>
  </si>
  <si>
    <t>EMP-030</t>
  </si>
  <si>
    <t>Operations Manager</t>
  </si>
  <si>
    <t>TOTAL</t>
  </si>
  <si>
    <t>Legend:</t>
  </si>
  <si>
    <t>Blue = input (edit)</t>
  </si>
  <si>
    <t>Black = formula</t>
  </si>
  <si>
    <t>Green text = linked from another sheet</t>
  </si>
  <si>
    <t>Green row = delivery driver</t>
  </si>
  <si>
    <t>Employee Payroll Register — September 2026</t>
  </si>
  <si>
    <t>Blue = input; black = formula; green = linked from another sheet. Names, departments, positions, MWE status and fixed hourly rates are linked from the Aug 2026 sheet. Green-tinted rows = delivery drivers. Regular Hours default to 208 (26 days × 8 hrs). OT is the ordinary 125% premium. Per diem = Trip Days × the department rate on Reference Rates. Allowances are non-taxable and outside the SSS/PhilHealth/Pag-IBIG base. Printed pages cover columns A–W (employee-facing); employer-cost columns X–AC are on screen only.</t>
  </si>
  <si>
    <t>2026-09-01 to 2026-09-30</t>
  </si>
  <si>
    <t>Employee Payroll Register — October 2026</t>
  </si>
  <si>
    <t>2026-10-01 to 2026-10-31</t>
  </si>
  <si>
    <t>3-Month Payroll Summary — August to October 2026</t>
  </si>
  <si>
    <t>Net Pay and Total Cost to Company are pulled from each monthly sheet — nothing is re-entered here. The department table below sums the employee table.</t>
  </si>
  <si>
    <t>Aug Net Pay</t>
  </si>
  <si>
    <t>Sep Net Pay</t>
  </si>
  <si>
    <t>Oct Net Pay</t>
  </si>
  <si>
    <t>3-Mo Total
Net Pay</t>
  </si>
  <si>
    <t>Aug Total Cost</t>
  </si>
  <si>
    <t>Sep Total Cost</t>
  </si>
  <si>
    <t>Oct Total Cost</t>
  </si>
  <si>
    <t>3-Mo Total
Cost to Company</t>
  </si>
  <si>
    <t>By Department (3-month totals)</t>
  </si>
  <si>
    <t>Headcount</t>
  </si>
  <si>
    <t>3-Mo Net Pay</t>
  </si>
  <si>
    <t>3-Mo Cost to Company</t>
  </si>
  <si>
    <t>% of Total Cost</t>
  </si>
  <si>
    <t>Mikhail Dustin Elpedes</t>
  </si>
  <si>
    <t>John Carlo Escartin</t>
  </si>
  <si>
    <t>Joshua Cedric D. Cortez</t>
  </si>
  <si>
    <t>Tristan Judd Mari Magsino</t>
  </si>
  <si>
    <t>Johnbel A. Maliñana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</si>
</sst>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₱#,##0"/>
    <numFmt numFmtId="165" formatCode="\₱#,##0.00"/>
    <numFmt numFmtId="166" formatCode="mmm\ d&quot;, &quot;yyyy"/>
    <numFmt numFmtId="167" formatCode="0.0%"/>
  </numFmts>
  <fonts count="1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80808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8.5"/>
      <color rgb="FF595959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b/>
      <sz val="9"/>
      <color rgb="FFFFFFFF"/>
      <name val="Arial"/>
      <charset val="1"/>
    </font>
    <font>
      <sz val="9"/>
      <color rgb="FF008000"/>
      <name val="Arial"/>
      <charset val="1"/>
    </font>
    <font>
      <sz val="9"/>
      <color rgb="FF000000"/>
      <name val="Arial"/>
      <charset val="1"/>
    </font>
    <font>
      <b/>
      <sz val="9"/>
      <color rgb="FF1F4E78"/>
      <name val="Arial"/>
      <charset val="1"/>
    </font>
    <font>
      <b/>
      <sz val="9"/>
      <color rgb="FFC00000"/>
      <name val="Arial"/>
      <charset val="1"/>
    </font>
    <font>
      <i/>
      <sz val="9"/>
      <color rgb="FF548235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164" fontId="6" fillId="4" borderId="1" xfId="0" applyNumberFormat="1" applyFont="1" applyFill="1" applyBorder="1"/>
    <xf numFmtId="165" fontId="0" fillId="0" borderId="1" xfId="0" applyNumberFormat="1" applyBorder="1"/>
    <xf numFmtId="166" fontId="6" fillId="4" borderId="1" xfId="0" applyNumberFormat="1" applyFont="1" applyFill="1" applyBorder="1"/>
    <xf numFmtId="0" fontId="4" fillId="3" borderId="1" xfId="0" applyFont="1" applyFill="1" applyBorder="1" applyAlignment="1">
      <alignment horizontal="center" wrapText="1"/>
    </xf>
    <xf numFmtId="0" fontId="0" fillId="0" borderId="1" xfId="0" applyBorder="1"/>
    <xf numFmtId="166" fontId="6" fillId="0" borderId="1" xfId="0" applyNumberFormat="1" applyFont="1" applyBorder="1"/>
    <xf numFmtId="167" fontId="6" fillId="4" borderId="1" xfId="0" applyNumberFormat="1" applyFont="1" applyFill="1" applyBorder="1"/>
    <xf numFmtId="167" fontId="0" fillId="0" borderId="1" xfId="0" applyNumberFormat="1" applyBorder="1"/>
    <xf numFmtId="164" fontId="0" fillId="0" borderId="1" xfId="0" applyNumberFormat="1" applyBorder="1"/>
    <xf numFmtId="0" fontId="8" fillId="0" borderId="0" xfId="0" applyFont="1"/>
    <xf numFmtId="0" fontId="10" fillId="5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4" borderId="1" xfId="0" applyFont="1" applyFill="1" applyBorder="1"/>
    <xf numFmtId="0" fontId="9" fillId="0" borderId="1" xfId="0" applyFont="1" applyBorder="1" applyAlignment="1">
      <alignment horizontal="center"/>
    </xf>
    <xf numFmtId="165" fontId="11" fillId="0" borderId="1" xfId="0" applyNumberFormat="1" applyFont="1" applyBorder="1"/>
    <xf numFmtId="0" fontId="9" fillId="4" borderId="1" xfId="0" applyFont="1" applyFill="1" applyBorder="1" applyAlignment="1">
      <alignment horizontal="center"/>
    </xf>
    <xf numFmtId="165" fontId="12" fillId="0" borderId="1" xfId="0" applyNumberFormat="1" applyFont="1" applyBorder="1"/>
    <xf numFmtId="165" fontId="8" fillId="0" borderId="1" xfId="0" applyNumberFormat="1" applyFont="1" applyBorder="1"/>
    <xf numFmtId="164" fontId="12" fillId="0" borderId="1" xfId="0" applyNumberFormat="1" applyFont="1" applyBorder="1"/>
    <xf numFmtId="165" fontId="13" fillId="0" borderId="1" xfId="0" applyNumberFormat="1" applyFont="1" applyBorder="1"/>
    <xf numFmtId="165" fontId="12" fillId="6" borderId="1" xfId="0" applyNumberFormat="1" applyFont="1" applyFill="1" applyBorder="1"/>
    <xf numFmtId="165" fontId="8" fillId="6" borderId="1" xfId="0" applyNumberFormat="1" applyFont="1" applyFill="1" applyBorder="1"/>
    <xf numFmtId="165" fontId="14" fillId="6" borderId="1" xfId="0" applyNumberFormat="1" applyFont="1" applyFill="1" applyBorder="1"/>
    <xf numFmtId="0" fontId="9" fillId="7" borderId="1" xfId="0" applyFont="1" applyFill="1" applyBorder="1"/>
    <xf numFmtId="0" fontId="9" fillId="7" borderId="1" xfId="0" applyFont="1" applyFill="1" applyBorder="1" applyAlignment="1">
      <alignment horizontal="center"/>
    </xf>
    <xf numFmtId="165" fontId="9" fillId="7" borderId="1" xfId="0" applyNumberFormat="1" applyFont="1" applyFill="1" applyBorder="1"/>
    <xf numFmtId="165" fontId="12" fillId="7" borderId="1" xfId="0" applyNumberFormat="1" applyFont="1" applyFill="1" applyBorder="1"/>
    <xf numFmtId="165" fontId="8" fillId="7" borderId="1" xfId="0" applyNumberFormat="1" applyFont="1" applyFill="1" applyBorder="1"/>
    <xf numFmtId="164" fontId="12" fillId="7" borderId="1" xfId="0" applyNumberFormat="1" applyFont="1" applyFill="1" applyBorder="1"/>
    <xf numFmtId="165" fontId="13" fillId="7" borderId="1" xfId="0" applyNumberFormat="1" applyFont="1" applyFill="1" applyBorder="1"/>
    <xf numFmtId="165" fontId="9" fillId="4" borderId="1" xfId="0" applyNumberFormat="1" applyFont="1" applyFill="1" applyBorder="1"/>
    <xf numFmtId="3" fontId="10" fillId="3" borderId="1" xfId="0" applyNumberFormat="1" applyFont="1" applyFill="1" applyBorder="1"/>
    <xf numFmtId="165" fontId="10" fillId="3" borderId="1" xfId="0" applyNumberFormat="1" applyFont="1" applyFill="1" applyBorder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5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7" borderId="1" xfId="0" applyFont="1" applyFill="1" applyBorder="1"/>
    <xf numFmtId="0" fontId="11" fillId="7" borderId="1" xfId="0" applyFont="1" applyFill="1" applyBorder="1" applyAlignment="1">
      <alignment horizontal="center"/>
    </xf>
    <xf numFmtId="165" fontId="11" fillId="7" borderId="1" xfId="0" applyNumberFormat="1" applyFont="1" applyFill="1" applyBorder="1"/>
    <xf numFmtId="165" fontId="11" fillId="6" borderId="1" xfId="0" applyNumberFormat="1" applyFont="1" applyFill="1" applyBorder="1"/>
    <xf numFmtId="0" fontId="12" fillId="0" borderId="1" xfId="0" applyFont="1" applyBorder="1" applyAlignment="1">
      <alignment horizontal="center"/>
    </xf>
    <xf numFmtId="167" fontId="12" fillId="0" borderId="1" xfId="0" applyNumberFormat="1" applyFont="1" applyBorder="1"/>
    <xf numFmtId="0" fontId="10" fillId="3" borderId="1" xfId="0" applyFont="1" applyFill="1" applyBorder="1" applyAlignment="1">
      <alignment horizontal="center"/>
    </xf>
    <xf numFmtId="167" fontId="10" fillId="3" borderId="1" xfId="0" applyNumberFormat="1" applyFont="1" applyFill="1" applyBorder="1"/>
    <xf numFmtId="0" fontId="7" fillId="0" borderId="0" xfId="0" applyFont="1" applyAlignment="1">
      <alignment vertical="top" wrapText="1"/>
    </xf>
    <xf numFmtId="0" fontId="3" fillId="2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/>
    <xf numFmtId="0" fontId="9" fillId="4" borderId="0" xfId="0" applyFont="1" applyFill="1"/>
    <xf numFmtId="0" fontId="10" fillId="3" borderId="1" xfId="0" applyFont="1" applyFill="1" applyBorder="1"/>
    <xf numFmtId="0" fontId="12" fillId="0" borderId="1" xfId="0" applyFont="1" applyBorder="1"/>
    <xf numFmtId="0" fontId="1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8"/>
  <sheetViews>
    <sheetView showGridLines="0" tabSelected="1" zoomScaleNormal="100" workbookViewId="0">
      <selection sqref="A1:E1"/>
    </sheetView>
  </sheetViews>
  <sheetFormatPr defaultColWidth="8.6328125" defaultRowHeight="14.5" x14ac:dyDescent="0.35"/>
  <cols>
    <col min="1" max="1" width="58" customWidth="1"/>
    <col min="2" max="2" width="18" customWidth="1"/>
    <col min="3" max="3" width="16" customWidth="1"/>
    <col min="4" max="4" width="18" customWidth="1"/>
    <col min="5" max="5" width="12" customWidth="1"/>
  </cols>
  <sheetData>
    <row r="1" spans="1:5" ht="18" x14ac:dyDescent="0.4">
      <c r="A1" s="55" t="s">
        <v>0</v>
      </c>
      <c r="B1" s="55"/>
      <c r="C1" s="55"/>
      <c r="D1" s="55"/>
      <c r="E1" s="55"/>
    </row>
    <row r="2" spans="1:5" ht="37.5" customHeight="1" x14ac:dyDescent="0.35">
      <c r="A2" s="54" t="s">
        <v>1</v>
      </c>
      <c r="B2" s="54"/>
      <c r="C2" s="54"/>
      <c r="D2" s="54"/>
      <c r="E2" s="54"/>
    </row>
    <row r="4" spans="1:5" x14ac:dyDescent="0.35">
      <c r="A4" s="53" t="s">
        <v>2</v>
      </c>
      <c r="B4" s="53"/>
      <c r="C4" s="53"/>
      <c r="D4" s="53"/>
      <c r="E4" s="53"/>
    </row>
    <row r="5" spans="1:5" x14ac:dyDescent="0.35">
      <c r="A5" s="3" t="s">
        <v>3</v>
      </c>
      <c r="B5" s="3" t="s">
        <v>4</v>
      </c>
      <c r="C5" s="3" t="s">
        <v>5</v>
      </c>
    </row>
    <row r="6" spans="1:5" x14ac:dyDescent="0.35">
      <c r="A6" s="4" t="s">
        <v>6</v>
      </c>
      <c r="B6" s="5">
        <v>755</v>
      </c>
      <c r="C6" s="6">
        <f>B6/8</f>
        <v>94.375</v>
      </c>
    </row>
    <row r="7" spans="1:5" x14ac:dyDescent="0.35">
      <c r="A7" s="4" t="s">
        <v>7</v>
      </c>
      <c r="B7" s="5">
        <v>695</v>
      </c>
      <c r="C7" s="6">
        <f>B7/8</f>
        <v>86.875</v>
      </c>
    </row>
    <row r="8" spans="1:5" x14ac:dyDescent="0.35">
      <c r="A8" s="4" t="s">
        <v>8</v>
      </c>
      <c r="B8" s="7">
        <v>46291</v>
      </c>
    </row>
    <row r="9" spans="1:5" ht="25.5" customHeight="1" x14ac:dyDescent="0.35">
      <c r="A9" s="54" t="s">
        <v>9</v>
      </c>
      <c r="B9" s="54"/>
      <c r="C9" s="54"/>
      <c r="D9" s="54"/>
      <c r="E9" s="54"/>
    </row>
    <row r="11" spans="1:5" x14ac:dyDescent="0.35">
      <c r="A11" s="53" t="s">
        <v>10</v>
      </c>
      <c r="B11" s="53"/>
      <c r="C11" s="53"/>
      <c r="D11" s="53"/>
      <c r="E11" s="53"/>
    </row>
    <row r="12" spans="1:5" x14ac:dyDescent="0.35">
      <c r="A12" s="8" t="s">
        <v>11</v>
      </c>
      <c r="B12" s="8" t="s">
        <v>12</v>
      </c>
      <c r="C12" s="8" t="s">
        <v>13</v>
      </c>
      <c r="D12" s="8" t="s">
        <v>14</v>
      </c>
      <c r="E12" s="8" t="s">
        <v>15</v>
      </c>
    </row>
    <row r="13" spans="1:5" x14ac:dyDescent="0.35">
      <c r="A13" s="9" t="s">
        <v>16</v>
      </c>
      <c r="B13" s="10">
        <v>46235</v>
      </c>
      <c r="C13" s="9">
        <f>MAX(0,MIN(DAY(EOMONTH(B13,0)),$B$8-B13))</f>
        <v>31</v>
      </c>
      <c r="D13" s="6">
        <f>($B$7*C13+$B$6*(DAY(EOMONTH(B13,0))-C13))/DAY(EOMONTH(B13,0))</f>
        <v>695</v>
      </c>
      <c r="E13" s="6">
        <f>D13/8</f>
        <v>86.875</v>
      </c>
    </row>
    <row r="14" spans="1:5" x14ac:dyDescent="0.35">
      <c r="A14" s="9" t="s">
        <v>17</v>
      </c>
      <c r="B14" s="10">
        <v>46266</v>
      </c>
      <c r="C14" s="9">
        <f>MAX(0,MIN(DAY(EOMONTH(B14,0)),$B$8-B14))</f>
        <v>25</v>
      </c>
      <c r="D14" s="6">
        <f>($B$7*C14+$B$6*(DAY(EOMONTH(B14,0))-C14))/DAY(EOMONTH(B14,0))</f>
        <v>705</v>
      </c>
      <c r="E14" s="6">
        <f>D14/8</f>
        <v>88.125</v>
      </c>
    </row>
    <row r="15" spans="1:5" x14ac:dyDescent="0.35">
      <c r="A15" s="9" t="s">
        <v>18</v>
      </c>
      <c r="B15" s="10">
        <v>46296</v>
      </c>
      <c r="C15" s="9">
        <f>MAX(0,MIN(DAY(EOMONTH(B15,0)),$B$8-B15))</f>
        <v>0</v>
      </c>
      <c r="D15" s="6">
        <f>($B$7*C15+$B$6*(DAY(EOMONTH(B15,0))-C15))/DAY(EOMONTH(B15,0))</f>
        <v>755</v>
      </c>
      <c r="E15" s="6">
        <f>D15/8</f>
        <v>94.375</v>
      </c>
    </row>
    <row r="16" spans="1:5" ht="25.5" customHeight="1" x14ac:dyDescent="0.35">
      <c r="A16" s="54" t="s">
        <v>19</v>
      </c>
      <c r="B16" s="54"/>
      <c r="C16" s="54"/>
      <c r="D16" s="54"/>
      <c r="E16" s="54"/>
    </row>
    <row r="18" spans="1:5" x14ac:dyDescent="0.35">
      <c r="A18" s="53" t="s">
        <v>20</v>
      </c>
      <c r="B18" s="53"/>
      <c r="C18" s="53"/>
      <c r="D18" s="53"/>
      <c r="E18" s="53"/>
    </row>
    <row r="19" spans="1:5" x14ac:dyDescent="0.35">
      <c r="A19" s="4" t="s">
        <v>21</v>
      </c>
      <c r="B19" s="5">
        <v>50</v>
      </c>
    </row>
    <row r="20" spans="1:5" x14ac:dyDescent="0.35">
      <c r="A20" s="3" t="s">
        <v>22</v>
      </c>
      <c r="B20" s="3" t="s">
        <v>23</v>
      </c>
    </row>
    <row r="21" spans="1:5" x14ac:dyDescent="0.35">
      <c r="A21" s="9" t="s">
        <v>24</v>
      </c>
      <c r="B21" s="5">
        <v>500</v>
      </c>
    </row>
    <row r="22" spans="1:5" x14ac:dyDescent="0.35">
      <c r="A22" s="9" t="s">
        <v>25</v>
      </c>
      <c r="B22" s="5">
        <v>900</v>
      </c>
    </row>
    <row r="23" spans="1:5" ht="37.5" customHeight="1" x14ac:dyDescent="0.35">
      <c r="A23" s="54" t="s">
        <v>26</v>
      </c>
      <c r="B23" s="54"/>
      <c r="C23" s="54"/>
      <c r="D23" s="54"/>
      <c r="E23" s="54"/>
    </row>
    <row r="25" spans="1:5" x14ac:dyDescent="0.35">
      <c r="A25" s="53" t="s">
        <v>27</v>
      </c>
      <c r="B25" s="53"/>
      <c r="C25" s="53"/>
      <c r="D25" s="53"/>
      <c r="E25" s="53"/>
    </row>
    <row r="26" spans="1:5" x14ac:dyDescent="0.35">
      <c r="A26" s="4" t="s">
        <v>28</v>
      </c>
      <c r="B26" s="11">
        <v>0.15</v>
      </c>
    </row>
    <row r="27" spans="1:5" x14ac:dyDescent="0.35">
      <c r="A27" s="4" t="s">
        <v>29</v>
      </c>
      <c r="B27" s="11">
        <v>0.05</v>
      </c>
    </row>
    <row r="28" spans="1:5" x14ac:dyDescent="0.35">
      <c r="A28" s="4" t="s">
        <v>30</v>
      </c>
      <c r="B28" s="11">
        <v>0.1</v>
      </c>
    </row>
    <row r="29" spans="1:5" x14ac:dyDescent="0.35">
      <c r="A29" s="4" t="s">
        <v>31</v>
      </c>
      <c r="B29" s="5">
        <v>5000</v>
      </c>
    </row>
    <row r="30" spans="1:5" x14ac:dyDescent="0.35">
      <c r="A30" s="4" t="s">
        <v>32</v>
      </c>
      <c r="B30" s="5">
        <v>35000</v>
      </c>
    </row>
    <row r="31" spans="1:5" x14ac:dyDescent="0.35">
      <c r="A31" s="4" t="s">
        <v>33</v>
      </c>
      <c r="B31" s="5">
        <v>15000</v>
      </c>
    </row>
    <row r="32" spans="1:5" x14ac:dyDescent="0.35">
      <c r="A32" s="4" t="s">
        <v>34</v>
      </c>
      <c r="B32" s="5">
        <v>10</v>
      </c>
    </row>
    <row r="33" spans="1:5" x14ac:dyDescent="0.35">
      <c r="A33" s="4" t="s">
        <v>35</v>
      </c>
      <c r="B33" s="5">
        <v>30</v>
      </c>
    </row>
    <row r="35" spans="1:5" x14ac:dyDescent="0.35">
      <c r="A35" s="53" t="s">
        <v>36</v>
      </c>
      <c r="B35" s="53"/>
      <c r="C35" s="53"/>
      <c r="D35" s="53"/>
      <c r="E35" s="53"/>
    </row>
    <row r="36" spans="1:5" x14ac:dyDescent="0.35">
      <c r="A36" s="4" t="s">
        <v>37</v>
      </c>
      <c r="B36" s="11">
        <v>0.05</v>
      </c>
    </row>
    <row r="37" spans="1:5" x14ac:dyDescent="0.35">
      <c r="A37" s="4" t="s">
        <v>29</v>
      </c>
      <c r="B37" s="11">
        <v>2.5000000000000001E-2</v>
      </c>
    </row>
    <row r="38" spans="1:5" x14ac:dyDescent="0.35">
      <c r="A38" s="4" t="s">
        <v>30</v>
      </c>
      <c r="B38" s="11">
        <v>2.5000000000000001E-2</v>
      </c>
    </row>
    <row r="39" spans="1:5" x14ac:dyDescent="0.35">
      <c r="A39" s="4" t="s">
        <v>38</v>
      </c>
      <c r="B39" s="5">
        <v>10000</v>
      </c>
    </row>
    <row r="40" spans="1:5" x14ac:dyDescent="0.35">
      <c r="A40" s="4" t="s">
        <v>39</v>
      </c>
      <c r="B40" s="5">
        <v>100000</v>
      </c>
    </row>
    <row r="42" spans="1:5" x14ac:dyDescent="0.35">
      <c r="A42" s="53" t="s">
        <v>40</v>
      </c>
      <c r="B42" s="53"/>
      <c r="C42" s="53"/>
      <c r="D42" s="53"/>
      <c r="E42" s="53"/>
    </row>
    <row r="43" spans="1:5" x14ac:dyDescent="0.35">
      <c r="A43" s="4" t="s">
        <v>41</v>
      </c>
      <c r="B43" s="11">
        <v>0.02</v>
      </c>
    </row>
    <row r="44" spans="1:5" x14ac:dyDescent="0.35">
      <c r="A44" s="4" t="s">
        <v>42</v>
      </c>
      <c r="B44" s="11">
        <v>0.01</v>
      </c>
    </row>
    <row r="45" spans="1:5" x14ac:dyDescent="0.35">
      <c r="A45" s="4" t="s">
        <v>30</v>
      </c>
      <c r="B45" s="11">
        <v>0.02</v>
      </c>
    </row>
    <row r="46" spans="1:5" x14ac:dyDescent="0.35">
      <c r="A46" s="4" t="s">
        <v>43</v>
      </c>
      <c r="B46" s="5">
        <v>10000</v>
      </c>
    </row>
    <row r="48" spans="1:5" x14ac:dyDescent="0.35">
      <c r="A48" s="53" t="s">
        <v>44</v>
      </c>
      <c r="B48" s="53"/>
      <c r="C48" s="53"/>
      <c r="D48" s="53"/>
      <c r="E48" s="53"/>
    </row>
    <row r="49" spans="1:5" x14ac:dyDescent="0.35">
      <c r="A49" s="3" t="s">
        <v>45</v>
      </c>
      <c r="B49" s="3" t="s">
        <v>46</v>
      </c>
      <c r="C49" s="3" t="s">
        <v>47</v>
      </c>
      <c r="D49" s="3" t="s">
        <v>48</v>
      </c>
    </row>
    <row r="50" spans="1:5" x14ac:dyDescent="0.35">
      <c r="A50" s="9" t="s">
        <v>49</v>
      </c>
      <c r="B50" s="6">
        <v>0</v>
      </c>
      <c r="C50" s="12">
        <v>0</v>
      </c>
      <c r="D50" s="13">
        <v>0</v>
      </c>
    </row>
    <row r="51" spans="1:5" x14ac:dyDescent="0.35">
      <c r="A51" s="9" t="s">
        <v>50</v>
      </c>
      <c r="B51" s="6">
        <v>0</v>
      </c>
      <c r="C51" s="12">
        <v>0.15</v>
      </c>
      <c r="D51" s="13">
        <v>20833</v>
      </c>
    </row>
    <row r="52" spans="1:5" x14ac:dyDescent="0.35">
      <c r="A52" s="9" t="s">
        <v>51</v>
      </c>
      <c r="B52" s="6">
        <v>1875</v>
      </c>
      <c r="C52" s="12">
        <v>0.2</v>
      </c>
      <c r="D52" s="13">
        <v>33333</v>
      </c>
    </row>
    <row r="53" spans="1:5" x14ac:dyDescent="0.35">
      <c r="A53" s="9" t="s">
        <v>52</v>
      </c>
      <c r="B53" s="6">
        <v>8541.7999999999993</v>
      </c>
      <c r="C53" s="12">
        <v>0.25</v>
      </c>
      <c r="D53" s="13">
        <v>66667</v>
      </c>
    </row>
    <row r="54" spans="1:5" x14ac:dyDescent="0.35">
      <c r="A54" s="9" t="s">
        <v>53</v>
      </c>
      <c r="B54" s="6">
        <v>33541.800000000003</v>
      </c>
      <c r="C54" s="12">
        <v>0.3</v>
      </c>
      <c r="D54" s="13">
        <v>166667</v>
      </c>
    </row>
    <row r="55" spans="1:5" x14ac:dyDescent="0.35">
      <c r="A55" s="9" t="s">
        <v>54</v>
      </c>
      <c r="B55" s="6">
        <v>183541.8</v>
      </c>
      <c r="C55" s="12">
        <v>0.35</v>
      </c>
      <c r="D55" s="13">
        <v>666667</v>
      </c>
    </row>
    <row r="57" spans="1:5" ht="37.5" customHeight="1" x14ac:dyDescent="0.35">
      <c r="A57" s="54" t="s">
        <v>55</v>
      </c>
      <c r="B57" s="54"/>
      <c r="C57" s="54"/>
      <c r="D57" s="54"/>
      <c r="E57" s="54"/>
    </row>
    <row r="59" spans="1:5" x14ac:dyDescent="0.35">
      <c r="A59" s="53" t="s">
        <v>56</v>
      </c>
      <c r="B59" s="53"/>
      <c r="C59" s="53"/>
      <c r="D59" s="53"/>
      <c r="E59" s="53"/>
    </row>
    <row r="60" spans="1:5" ht="37.5" customHeight="1" x14ac:dyDescent="0.35">
      <c r="A60" s="54" t="s">
        <v>57</v>
      </c>
      <c r="B60" s="54"/>
      <c r="C60" s="54"/>
      <c r="D60" s="54"/>
      <c r="E60" s="54"/>
    </row>
    <row r="62" spans="1:5" x14ac:dyDescent="0.35">
      <c r="A62" s="53" t="s">
        <v>58</v>
      </c>
      <c r="B62" s="53"/>
      <c r="C62" s="53"/>
      <c r="D62" s="53"/>
      <c r="E62" s="53"/>
    </row>
    <row r="63" spans="1:5" ht="24" customHeight="1" x14ac:dyDescent="0.35">
      <c r="A63" s="52" t="s">
        <v>59</v>
      </c>
      <c r="B63" s="52"/>
      <c r="C63" s="52"/>
      <c r="D63" s="52"/>
      <c r="E63" s="52"/>
    </row>
    <row r="64" spans="1:5" ht="24" customHeight="1" x14ac:dyDescent="0.35">
      <c r="A64" s="52" t="s">
        <v>60</v>
      </c>
      <c r="B64" s="52"/>
      <c r="C64" s="52"/>
      <c r="D64" s="52"/>
      <c r="E64" s="52"/>
    </row>
    <row r="65" spans="1:5" ht="24" customHeight="1" x14ac:dyDescent="0.35">
      <c r="A65" s="52" t="s">
        <v>61</v>
      </c>
      <c r="B65" s="52"/>
      <c r="C65" s="52"/>
      <c r="D65" s="52"/>
      <c r="E65" s="52"/>
    </row>
    <row r="66" spans="1:5" ht="24" customHeight="1" x14ac:dyDescent="0.35">
      <c r="A66" s="52" t="s">
        <v>62</v>
      </c>
      <c r="B66" s="52"/>
      <c r="C66" s="52"/>
      <c r="D66" s="52"/>
      <c r="E66" s="52"/>
    </row>
    <row r="67" spans="1:5" ht="24" customHeight="1" x14ac:dyDescent="0.35">
      <c r="A67" s="52" t="s">
        <v>63</v>
      </c>
      <c r="B67" s="52"/>
      <c r="C67" s="52"/>
      <c r="D67" s="52"/>
      <c r="E67" s="52"/>
    </row>
    <row r="68" spans="1:5" ht="24" customHeight="1" x14ac:dyDescent="0.35">
      <c r="A68" s="52" t="s">
        <v>64</v>
      </c>
      <c r="B68" s="52"/>
      <c r="C68" s="52"/>
      <c r="D68" s="52"/>
      <c r="E68" s="52"/>
    </row>
  </sheetData>
  <mergeCells count="22">
    <mergeCell ref="A1:E1"/>
    <mergeCell ref="A2:E2"/>
    <mergeCell ref="A4:E4"/>
    <mergeCell ref="A9:E9"/>
    <mergeCell ref="A11:E11"/>
    <mergeCell ref="A16:E16"/>
    <mergeCell ref="A18:E18"/>
    <mergeCell ref="A23:E23"/>
    <mergeCell ref="A25:E25"/>
    <mergeCell ref="A35:E35"/>
    <mergeCell ref="A42:E42"/>
    <mergeCell ref="A48:E48"/>
    <mergeCell ref="A57:E57"/>
    <mergeCell ref="A59:E59"/>
    <mergeCell ref="A60:E60"/>
    <mergeCell ref="A67:E67"/>
    <mergeCell ref="A68:E68"/>
    <mergeCell ref="A62:E62"/>
    <mergeCell ref="A63:E63"/>
    <mergeCell ref="A64:E64"/>
    <mergeCell ref="A65:E65"/>
    <mergeCell ref="A66:E66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3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9.54296875" customWidth="1"/>
    <col min="2" max="2" width="20" customWidth="1"/>
    <col min="3" max="3" width="17" customWidth="1"/>
    <col min="4" max="4" width="28" customWidth="1"/>
    <col min="5" max="5" width="5.54296875" customWidth="1"/>
    <col min="6" max="6" width="9.54296875" customWidth="1"/>
    <col min="7" max="8" width="8" customWidth="1"/>
    <col min="9" max="9" width="8.453125" customWidth="1"/>
    <col min="10" max="29" width="11.453125" customWidth="1"/>
  </cols>
  <sheetData>
    <row r="1" spans="1:29" ht="18" x14ac:dyDescent="0.4">
      <c r="A1" s="55" t="s">
        <v>65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9" ht="36" customHeight="1" x14ac:dyDescent="0.35">
      <c r="A2" s="54" t="s">
        <v>66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9" x14ac:dyDescent="0.35">
      <c r="A3" s="14" t="s">
        <v>67</v>
      </c>
      <c r="B3" s="56" t="s">
        <v>68</v>
      </c>
      <c r="C3" s="56"/>
      <c r="D3" s="56"/>
    </row>
    <row r="5" spans="1:29" ht="31.5" customHeight="1" x14ac:dyDescent="0.35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1" t="s">
        <v>84</v>
      </c>
      <c r="Q5" s="1" t="s">
        <v>85</v>
      </c>
      <c r="R5" s="1" t="s">
        <v>86</v>
      </c>
      <c r="S5" s="1" t="s">
        <v>87</v>
      </c>
      <c r="T5" s="1" t="s">
        <v>88</v>
      </c>
      <c r="U5" s="1" t="s">
        <v>89</v>
      </c>
      <c r="V5" s="1" t="s">
        <v>90</v>
      </c>
      <c r="W5" s="1" t="s">
        <v>91</v>
      </c>
      <c r="X5" s="15" t="s">
        <v>92</v>
      </c>
      <c r="Y5" s="15" t="s">
        <v>93</v>
      </c>
      <c r="Z5" s="15" t="s">
        <v>94</v>
      </c>
      <c r="AA5" s="15" t="s">
        <v>95</v>
      </c>
      <c r="AB5" s="15" t="s">
        <v>96</v>
      </c>
      <c r="AC5" s="15" t="s">
        <v>97</v>
      </c>
    </row>
    <row r="6" spans="1:29" x14ac:dyDescent="0.35">
      <c r="A6" s="16" t="s">
        <v>98</v>
      </c>
      <c r="B6" s="17" t="s">
        <v>171</v>
      </c>
      <c r="C6" s="16" t="s">
        <v>99</v>
      </c>
      <c r="D6" s="16" t="s">
        <v>100</v>
      </c>
      <c r="E6" s="18" t="s">
        <v>101</v>
      </c>
      <c r="F6" s="19">
        <f>'Reference Rates'!$E$13</f>
        <v>86.875</v>
      </c>
      <c r="G6" s="20">
        <v>200</v>
      </c>
      <c r="H6" s="20">
        <v>0</v>
      </c>
      <c r="I6" s="20">
        <v>0</v>
      </c>
      <c r="J6" s="21">
        <f t="shared" ref="J6:J35" si="0">F6*G6</f>
        <v>17375</v>
      </c>
      <c r="K6" s="21">
        <f t="shared" ref="K6:K35" si="1">F6*1.25*H6</f>
        <v>0</v>
      </c>
      <c r="L6" s="22">
        <f t="shared" ref="L6:L35" si="2">J6+K6</f>
        <v>17375</v>
      </c>
      <c r="M6" s="21">
        <f>'Reference Rates'!$B$19*G6/8</f>
        <v>1250</v>
      </c>
      <c r="N6" s="21">
        <f>I6*IFERROR(INDEX('Reference Rates'!$B$21:$B$22,MATCH(C6,'Reference Rates'!$A$21:$A$22,0)),0)</f>
        <v>0</v>
      </c>
      <c r="O6" s="23">
        <f>MIN('Reference Rates'!$B$30,MAX('Reference Rates'!$B$29,MROUND(L6,500)))</f>
        <v>17500</v>
      </c>
      <c r="P6" s="21">
        <f>O6*'Reference Rates'!$B$27</f>
        <v>875</v>
      </c>
      <c r="Q6" s="21">
        <f>MIN(MAX(L6,'Reference Rates'!$B$39),'Reference Rates'!$B$40)*'Reference Rates'!$B$37</f>
        <v>434.375</v>
      </c>
      <c r="R6" s="21">
        <f>MIN(L6,'Reference Rates'!$B$46)*IF(L6&gt;1500,'Reference Rates'!$B$43,'Reference Rates'!$B$44)</f>
        <v>200</v>
      </c>
      <c r="S6" s="22">
        <f t="shared" ref="S6:S35" si="3">P6+Q6+R6</f>
        <v>1509.375</v>
      </c>
      <c r="T6" s="21">
        <f t="shared" ref="T6:T35" si="4">IF(E6="Y",0,MAX(0,L6-S6))</f>
        <v>0</v>
      </c>
      <c r="U6" s="21">
        <f>IF(T6&lt;='Reference Rates'!$D$51,0,IF(T6&lt;='Reference Rates'!$D$52,'Reference Rates'!$B$51+(T6-'Reference Rates'!$D$51)*'Reference Rates'!$C$51,IF(T6&lt;='Reference Rates'!$D$53,'Reference Rates'!$B$52+(T6-'Reference Rates'!$D$52)*'Reference Rates'!$C$52,IF(T6&lt;='Reference Rates'!$D$54,'Reference Rates'!$B$53+(T6-'Reference Rates'!$D$53)*'Reference Rates'!$C$53,IF(T6&lt;='Reference Rates'!$D$55,'Reference Rates'!$B$54+(T6-'Reference Rates'!$D$54)*'Reference Rates'!$C$54,'Reference Rates'!$B$55+(T6-'Reference Rates'!$D$55)*'Reference Rates'!$C$55)))))</f>
        <v>0</v>
      </c>
      <c r="V6" s="22">
        <f t="shared" ref="V6:V35" si="5">S6+U6</f>
        <v>1509.375</v>
      </c>
      <c r="W6" s="24">
        <f t="shared" ref="W6:W35" si="6">L6+M6+N6-V6</f>
        <v>17115.625</v>
      </c>
      <c r="X6" s="25">
        <f>O6*'Reference Rates'!$B$28</f>
        <v>1750</v>
      </c>
      <c r="Y6" s="25">
        <f>IF(O6&lt;'Reference Rates'!$B$31,'Reference Rates'!$B$32,'Reference Rates'!$B$33)</f>
        <v>30</v>
      </c>
      <c r="Z6" s="25">
        <f>MIN(MAX(L6,'Reference Rates'!$B$39),'Reference Rates'!$B$40)*'Reference Rates'!$B$38</f>
        <v>434.375</v>
      </c>
      <c r="AA6" s="25">
        <f>MIN(L6,'Reference Rates'!$B$46)*'Reference Rates'!$B$45</f>
        <v>200</v>
      </c>
      <c r="AB6" s="26">
        <f t="shared" ref="AB6:AB35" si="7">X6+Y6+Z6+AA6</f>
        <v>2414.375</v>
      </c>
      <c r="AC6" s="27">
        <f t="shared" ref="AC6:AC35" si="8">L6+M6+N6+AB6</f>
        <v>21039.375</v>
      </c>
    </row>
    <row r="7" spans="1:29" x14ac:dyDescent="0.35">
      <c r="A7" s="16" t="s">
        <v>102</v>
      </c>
      <c r="B7" s="17"/>
      <c r="C7" s="16" t="s">
        <v>99</v>
      </c>
      <c r="D7" s="16" t="s">
        <v>100</v>
      </c>
      <c r="E7" s="18" t="s">
        <v>101</v>
      </c>
      <c r="F7" s="19">
        <f>'Reference Rates'!$E$13</f>
        <v>86.875</v>
      </c>
      <c r="G7" s="20">
        <v>208</v>
      </c>
      <c r="H7" s="20">
        <v>6</v>
      </c>
      <c r="I7" s="20">
        <v>0</v>
      </c>
      <c r="J7" s="21">
        <f t="shared" si="0"/>
        <v>18070</v>
      </c>
      <c r="K7" s="21">
        <f t="shared" si="1"/>
        <v>651.5625</v>
      </c>
      <c r="L7" s="22">
        <f t="shared" si="2"/>
        <v>18721.5625</v>
      </c>
      <c r="M7" s="21">
        <f>'Reference Rates'!$B$19*G7/8</f>
        <v>1300</v>
      </c>
      <c r="N7" s="21">
        <f>I7*IFERROR(INDEX('Reference Rates'!$B$21:$B$22,MATCH(C7,'Reference Rates'!$A$21:$A$22,0)),0)</f>
        <v>0</v>
      </c>
      <c r="O7" s="23">
        <f>MIN('Reference Rates'!$B$30,MAX('Reference Rates'!$B$29,MROUND(L7,500)))</f>
        <v>18500</v>
      </c>
      <c r="P7" s="21">
        <f>O7*'Reference Rates'!$B$27</f>
        <v>925</v>
      </c>
      <c r="Q7" s="21">
        <f>MIN(MAX(L7,'Reference Rates'!$B$39),'Reference Rates'!$B$40)*'Reference Rates'!$B$37</f>
        <v>468.0390625</v>
      </c>
      <c r="R7" s="21">
        <f>MIN(L7,'Reference Rates'!$B$46)*IF(L7&gt;1500,'Reference Rates'!$B$43,'Reference Rates'!$B$44)</f>
        <v>200</v>
      </c>
      <c r="S7" s="22">
        <f t="shared" si="3"/>
        <v>1593.0390625</v>
      </c>
      <c r="T7" s="21">
        <f t="shared" si="4"/>
        <v>0</v>
      </c>
      <c r="U7" s="21">
        <f>IF(T7&lt;='Reference Rates'!$D$51,0,IF(T7&lt;='Reference Rates'!$D$52,'Reference Rates'!$B$51+(T7-'Reference Rates'!$D$51)*'Reference Rates'!$C$51,IF(T7&lt;='Reference Rates'!$D$53,'Reference Rates'!$B$52+(T7-'Reference Rates'!$D$52)*'Reference Rates'!$C$52,IF(T7&lt;='Reference Rates'!$D$54,'Reference Rates'!$B$53+(T7-'Reference Rates'!$D$53)*'Reference Rates'!$C$53,IF(T7&lt;='Reference Rates'!$D$55,'Reference Rates'!$B$54+(T7-'Reference Rates'!$D$54)*'Reference Rates'!$C$54,'Reference Rates'!$B$55+(T7-'Reference Rates'!$D$55)*'Reference Rates'!$C$55)))))</f>
        <v>0</v>
      </c>
      <c r="V7" s="22">
        <f t="shared" si="5"/>
        <v>1593.0390625</v>
      </c>
      <c r="W7" s="24">
        <f t="shared" si="6"/>
        <v>18428.5234375</v>
      </c>
      <c r="X7" s="25">
        <f>O7*'Reference Rates'!$B$28</f>
        <v>1850</v>
      </c>
      <c r="Y7" s="25">
        <f>IF(O7&lt;'Reference Rates'!$B$31,'Reference Rates'!$B$32,'Reference Rates'!$B$33)</f>
        <v>30</v>
      </c>
      <c r="Z7" s="25">
        <f>MIN(MAX(L7,'Reference Rates'!$B$39),'Reference Rates'!$B$40)*'Reference Rates'!$B$38</f>
        <v>468.0390625</v>
      </c>
      <c r="AA7" s="25">
        <f>MIN(L7,'Reference Rates'!$B$46)*'Reference Rates'!$B$45</f>
        <v>200</v>
      </c>
      <c r="AB7" s="26">
        <f t="shared" si="7"/>
        <v>2548.0390625</v>
      </c>
      <c r="AC7" s="27">
        <f t="shared" si="8"/>
        <v>22569.6015625</v>
      </c>
    </row>
    <row r="8" spans="1:29" x14ac:dyDescent="0.35">
      <c r="A8" s="16" t="s">
        <v>103</v>
      </c>
      <c r="B8" s="17"/>
      <c r="C8" s="16" t="s">
        <v>99</v>
      </c>
      <c r="D8" s="16" t="s">
        <v>100</v>
      </c>
      <c r="E8" s="18" t="s">
        <v>101</v>
      </c>
      <c r="F8" s="19">
        <f>'Reference Rates'!$E$13</f>
        <v>86.875</v>
      </c>
      <c r="G8" s="20">
        <v>200</v>
      </c>
      <c r="H8" s="20">
        <v>0</v>
      </c>
      <c r="I8" s="20">
        <v>0</v>
      </c>
      <c r="J8" s="21">
        <f t="shared" si="0"/>
        <v>17375</v>
      </c>
      <c r="K8" s="21">
        <f t="shared" si="1"/>
        <v>0</v>
      </c>
      <c r="L8" s="22">
        <f t="shared" si="2"/>
        <v>17375</v>
      </c>
      <c r="M8" s="21">
        <f>'Reference Rates'!$B$19*G8/8</f>
        <v>1250</v>
      </c>
      <c r="N8" s="21">
        <f>I8*IFERROR(INDEX('Reference Rates'!$B$21:$B$22,MATCH(C8,'Reference Rates'!$A$21:$A$22,0)),0)</f>
        <v>0</v>
      </c>
      <c r="O8" s="23">
        <f>MIN('Reference Rates'!$B$30,MAX('Reference Rates'!$B$29,MROUND(L8,500)))</f>
        <v>17500</v>
      </c>
      <c r="P8" s="21">
        <f>O8*'Reference Rates'!$B$27</f>
        <v>875</v>
      </c>
      <c r="Q8" s="21">
        <f>MIN(MAX(L8,'Reference Rates'!$B$39),'Reference Rates'!$B$40)*'Reference Rates'!$B$37</f>
        <v>434.375</v>
      </c>
      <c r="R8" s="21">
        <f>MIN(L8,'Reference Rates'!$B$46)*IF(L8&gt;1500,'Reference Rates'!$B$43,'Reference Rates'!$B$44)</f>
        <v>200</v>
      </c>
      <c r="S8" s="22">
        <f t="shared" si="3"/>
        <v>1509.375</v>
      </c>
      <c r="T8" s="21">
        <f t="shared" si="4"/>
        <v>0</v>
      </c>
      <c r="U8" s="21">
        <f>IF(T8&lt;='Reference Rates'!$D$51,0,IF(T8&lt;='Reference Rates'!$D$52,'Reference Rates'!$B$51+(T8-'Reference Rates'!$D$51)*'Reference Rates'!$C$51,IF(T8&lt;='Reference Rates'!$D$53,'Reference Rates'!$B$52+(T8-'Reference Rates'!$D$52)*'Reference Rates'!$C$52,IF(T8&lt;='Reference Rates'!$D$54,'Reference Rates'!$B$53+(T8-'Reference Rates'!$D$53)*'Reference Rates'!$C$53,IF(T8&lt;='Reference Rates'!$D$55,'Reference Rates'!$B$54+(T8-'Reference Rates'!$D$54)*'Reference Rates'!$C$54,'Reference Rates'!$B$55+(T8-'Reference Rates'!$D$55)*'Reference Rates'!$C$55)))))</f>
        <v>0</v>
      </c>
      <c r="V8" s="22">
        <f t="shared" si="5"/>
        <v>1509.375</v>
      </c>
      <c r="W8" s="24">
        <f t="shared" si="6"/>
        <v>17115.625</v>
      </c>
      <c r="X8" s="25">
        <f>O8*'Reference Rates'!$B$28</f>
        <v>1750</v>
      </c>
      <c r="Y8" s="25">
        <f>IF(O8&lt;'Reference Rates'!$B$31,'Reference Rates'!$B$32,'Reference Rates'!$B$33)</f>
        <v>30</v>
      </c>
      <c r="Z8" s="25">
        <f>MIN(MAX(L8,'Reference Rates'!$B$39),'Reference Rates'!$B$40)*'Reference Rates'!$B$38</f>
        <v>434.375</v>
      </c>
      <c r="AA8" s="25">
        <f>MIN(L8,'Reference Rates'!$B$46)*'Reference Rates'!$B$45</f>
        <v>200</v>
      </c>
      <c r="AB8" s="26">
        <f t="shared" si="7"/>
        <v>2414.375</v>
      </c>
      <c r="AC8" s="27">
        <f t="shared" si="8"/>
        <v>21039.375</v>
      </c>
    </row>
    <row r="9" spans="1:29" x14ac:dyDescent="0.35">
      <c r="A9" s="16" t="s">
        <v>104</v>
      </c>
      <c r="B9" s="17"/>
      <c r="C9" s="16" t="s">
        <v>99</v>
      </c>
      <c r="D9" s="16" t="s">
        <v>100</v>
      </c>
      <c r="E9" s="18" t="s">
        <v>101</v>
      </c>
      <c r="F9" s="19">
        <f>'Reference Rates'!$E$13</f>
        <v>86.875</v>
      </c>
      <c r="G9" s="20">
        <v>208</v>
      </c>
      <c r="H9" s="20">
        <v>0</v>
      </c>
      <c r="I9" s="20">
        <v>0</v>
      </c>
      <c r="J9" s="21">
        <f t="shared" si="0"/>
        <v>18070</v>
      </c>
      <c r="K9" s="21">
        <f t="shared" si="1"/>
        <v>0</v>
      </c>
      <c r="L9" s="22">
        <f t="shared" si="2"/>
        <v>18070</v>
      </c>
      <c r="M9" s="21">
        <f>'Reference Rates'!$B$19*G9/8</f>
        <v>1300</v>
      </c>
      <c r="N9" s="21">
        <f>I9*IFERROR(INDEX('Reference Rates'!$B$21:$B$22,MATCH(C9,'Reference Rates'!$A$21:$A$22,0)),0)</f>
        <v>0</v>
      </c>
      <c r="O9" s="23">
        <f>MIN('Reference Rates'!$B$30,MAX('Reference Rates'!$B$29,MROUND(L9,500)))</f>
        <v>18000</v>
      </c>
      <c r="P9" s="21">
        <f>O9*'Reference Rates'!$B$27</f>
        <v>900</v>
      </c>
      <c r="Q9" s="21">
        <f>MIN(MAX(L9,'Reference Rates'!$B$39),'Reference Rates'!$B$40)*'Reference Rates'!$B$37</f>
        <v>451.75</v>
      </c>
      <c r="R9" s="21">
        <f>MIN(L9,'Reference Rates'!$B$46)*IF(L9&gt;1500,'Reference Rates'!$B$43,'Reference Rates'!$B$44)</f>
        <v>200</v>
      </c>
      <c r="S9" s="22">
        <f t="shared" si="3"/>
        <v>1551.75</v>
      </c>
      <c r="T9" s="21">
        <f t="shared" si="4"/>
        <v>0</v>
      </c>
      <c r="U9" s="21">
        <f>IF(T9&lt;='Reference Rates'!$D$51,0,IF(T9&lt;='Reference Rates'!$D$52,'Reference Rates'!$B$51+(T9-'Reference Rates'!$D$51)*'Reference Rates'!$C$51,IF(T9&lt;='Reference Rates'!$D$53,'Reference Rates'!$B$52+(T9-'Reference Rates'!$D$52)*'Reference Rates'!$C$52,IF(T9&lt;='Reference Rates'!$D$54,'Reference Rates'!$B$53+(T9-'Reference Rates'!$D$53)*'Reference Rates'!$C$53,IF(T9&lt;='Reference Rates'!$D$55,'Reference Rates'!$B$54+(T9-'Reference Rates'!$D$54)*'Reference Rates'!$C$54,'Reference Rates'!$B$55+(T9-'Reference Rates'!$D$55)*'Reference Rates'!$C$55)))))</f>
        <v>0</v>
      </c>
      <c r="V9" s="22">
        <f t="shared" si="5"/>
        <v>1551.75</v>
      </c>
      <c r="W9" s="24">
        <f t="shared" si="6"/>
        <v>17818.25</v>
      </c>
      <c r="X9" s="25">
        <f>O9*'Reference Rates'!$B$28</f>
        <v>1800</v>
      </c>
      <c r="Y9" s="25">
        <f>IF(O9&lt;'Reference Rates'!$B$31,'Reference Rates'!$B$32,'Reference Rates'!$B$33)</f>
        <v>30</v>
      </c>
      <c r="Z9" s="25">
        <f>MIN(MAX(L9,'Reference Rates'!$B$39),'Reference Rates'!$B$40)*'Reference Rates'!$B$38</f>
        <v>451.75</v>
      </c>
      <c r="AA9" s="25">
        <f>MIN(L9,'Reference Rates'!$B$46)*'Reference Rates'!$B$45</f>
        <v>200</v>
      </c>
      <c r="AB9" s="26">
        <f t="shared" si="7"/>
        <v>2481.75</v>
      </c>
      <c r="AC9" s="27">
        <f t="shared" si="8"/>
        <v>21851.75</v>
      </c>
    </row>
    <row r="10" spans="1:29" x14ac:dyDescent="0.35">
      <c r="A10" s="16" t="s">
        <v>105</v>
      </c>
      <c r="B10" s="17"/>
      <c r="C10" s="16" t="s">
        <v>99</v>
      </c>
      <c r="D10" s="16" t="s">
        <v>106</v>
      </c>
      <c r="E10" s="18" t="s">
        <v>101</v>
      </c>
      <c r="F10" s="19">
        <f>'Reference Rates'!$E$13</f>
        <v>86.875</v>
      </c>
      <c r="G10" s="20">
        <v>208</v>
      </c>
      <c r="H10" s="20">
        <v>2</v>
      </c>
      <c r="I10" s="20">
        <v>0</v>
      </c>
      <c r="J10" s="21">
        <f t="shared" si="0"/>
        <v>18070</v>
      </c>
      <c r="K10" s="21">
        <f t="shared" si="1"/>
        <v>217.1875</v>
      </c>
      <c r="L10" s="22">
        <f t="shared" si="2"/>
        <v>18287.1875</v>
      </c>
      <c r="M10" s="21">
        <f>'Reference Rates'!$B$19*G10/8</f>
        <v>1300</v>
      </c>
      <c r="N10" s="21">
        <f>I10*IFERROR(INDEX('Reference Rates'!$B$21:$B$22,MATCH(C10,'Reference Rates'!$A$21:$A$22,0)),0)</f>
        <v>0</v>
      </c>
      <c r="O10" s="23">
        <f>MIN('Reference Rates'!$B$30,MAX('Reference Rates'!$B$29,MROUND(L10,500)))</f>
        <v>18500</v>
      </c>
      <c r="P10" s="21">
        <f>O10*'Reference Rates'!$B$27</f>
        <v>925</v>
      </c>
      <c r="Q10" s="21">
        <f>MIN(MAX(L10,'Reference Rates'!$B$39),'Reference Rates'!$B$40)*'Reference Rates'!$B$37</f>
        <v>457.1796875</v>
      </c>
      <c r="R10" s="21">
        <f>MIN(L10,'Reference Rates'!$B$46)*IF(L10&gt;1500,'Reference Rates'!$B$43,'Reference Rates'!$B$44)</f>
        <v>200</v>
      </c>
      <c r="S10" s="22">
        <f t="shared" si="3"/>
        <v>1582.1796875</v>
      </c>
      <c r="T10" s="21">
        <f t="shared" si="4"/>
        <v>0</v>
      </c>
      <c r="U10" s="21">
        <f>IF(T10&lt;='Reference Rates'!$D$51,0,IF(T10&lt;='Reference Rates'!$D$52,'Reference Rates'!$B$51+(T10-'Reference Rates'!$D$51)*'Reference Rates'!$C$51,IF(T10&lt;='Reference Rates'!$D$53,'Reference Rates'!$B$52+(T10-'Reference Rates'!$D$52)*'Reference Rates'!$C$52,IF(T10&lt;='Reference Rates'!$D$54,'Reference Rates'!$B$53+(T10-'Reference Rates'!$D$53)*'Reference Rates'!$C$53,IF(T10&lt;='Reference Rates'!$D$55,'Reference Rates'!$B$54+(T10-'Reference Rates'!$D$54)*'Reference Rates'!$C$54,'Reference Rates'!$B$55+(T10-'Reference Rates'!$D$55)*'Reference Rates'!$C$55)))))</f>
        <v>0</v>
      </c>
      <c r="V10" s="22">
        <f t="shared" si="5"/>
        <v>1582.1796875</v>
      </c>
      <c r="W10" s="24">
        <f t="shared" si="6"/>
        <v>18005.0078125</v>
      </c>
      <c r="X10" s="25">
        <f>O10*'Reference Rates'!$B$28</f>
        <v>1850</v>
      </c>
      <c r="Y10" s="25">
        <f>IF(O10&lt;'Reference Rates'!$B$31,'Reference Rates'!$B$32,'Reference Rates'!$B$33)</f>
        <v>30</v>
      </c>
      <c r="Z10" s="25">
        <f>MIN(MAX(L10,'Reference Rates'!$B$39),'Reference Rates'!$B$40)*'Reference Rates'!$B$38</f>
        <v>457.1796875</v>
      </c>
      <c r="AA10" s="25">
        <f>MIN(L10,'Reference Rates'!$B$46)*'Reference Rates'!$B$45</f>
        <v>200</v>
      </c>
      <c r="AB10" s="26">
        <f t="shared" si="7"/>
        <v>2537.1796875</v>
      </c>
      <c r="AC10" s="27">
        <f t="shared" si="8"/>
        <v>22124.3671875</v>
      </c>
    </row>
    <row r="11" spans="1:29" x14ac:dyDescent="0.35">
      <c r="A11" s="16" t="s">
        <v>107</v>
      </c>
      <c r="B11" s="17"/>
      <c r="C11" s="16" t="s">
        <v>99</v>
      </c>
      <c r="D11" s="16" t="s">
        <v>106</v>
      </c>
      <c r="E11" s="18" t="s">
        <v>101</v>
      </c>
      <c r="F11" s="19">
        <f>'Reference Rates'!$E$13</f>
        <v>86.875</v>
      </c>
      <c r="G11" s="20">
        <v>208</v>
      </c>
      <c r="H11" s="20">
        <v>0</v>
      </c>
      <c r="I11" s="20">
        <v>0</v>
      </c>
      <c r="J11" s="21">
        <f t="shared" si="0"/>
        <v>18070</v>
      </c>
      <c r="K11" s="21">
        <f t="shared" si="1"/>
        <v>0</v>
      </c>
      <c r="L11" s="22">
        <f t="shared" si="2"/>
        <v>18070</v>
      </c>
      <c r="M11" s="21">
        <f>'Reference Rates'!$B$19*G11/8</f>
        <v>1300</v>
      </c>
      <c r="N11" s="21">
        <f>I11*IFERROR(INDEX('Reference Rates'!$B$21:$B$22,MATCH(C11,'Reference Rates'!$A$21:$A$22,0)),0)</f>
        <v>0</v>
      </c>
      <c r="O11" s="23">
        <f>MIN('Reference Rates'!$B$30,MAX('Reference Rates'!$B$29,MROUND(L11,500)))</f>
        <v>18000</v>
      </c>
      <c r="P11" s="21">
        <f>O11*'Reference Rates'!$B$27</f>
        <v>900</v>
      </c>
      <c r="Q11" s="21">
        <f>MIN(MAX(L11,'Reference Rates'!$B$39),'Reference Rates'!$B$40)*'Reference Rates'!$B$37</f>
        <v>451.75</v>
      </c>
      <c r="R11" s="21">
        <f>MIN(L11,'Reference Rates'!$B$46)*IF(L11&gt;1500,'Reference Rates'!$B$43,'Reference Rates'!$B$44)</f>
        <v>200</v>
      </c>
      <c r="S11" s="22">
        <f t="shared" si="3"/>
        <v>1551.75</v>
      </c>
      <c r="T11" s="21">
        <f t="shared" si="4"/>
        <v>0</v>
      </c>
      <c r="U11" s="21">
        <f>IF(T11&lt;='Reference Rates'!$D$51,0,IF(T11&lt;='Reference Rates'!$D$52,'Reference Rates'!$B$51+(T11-'Reference Rates'!$D$51)*'Reference Rates'!$C$51,IF(T11&lt;='Reference Rates'!$D$53,'Reference Rates'!$B$52+(T11-'Reference Rates'!$D$52)*'Reference Rates'!$C$52,IF(T11&lt;='Reference Rates'!$D$54,'Reference Rates'!$B$53+(T11-'Reference Rates'!$D$53)*'Reference Rates'!$C$53,IF(T11&lt;='Reference Rates'!$D$55,'Reference Rates'!$B$54+(T11-'Reference Rates'!$D$54)*'Reference Rates'!$C$54,'Reference Rates'!$B$55+(T11-'Reference Rates'!$D$55)*'Reference Rates'!$C$55)))))</f>
        <v>0</v>
      </c>
      <c r="V11" s="22">
        <f t="shared" si="5"/>
        <v>1551.75</v>
      </c>
      <c r="W11" s="24">
        <f t="shared" si="6"/>
        <v>17818.25</v>
      </c>
      <c r="X11" s="25">
        <f>O11*'Reference Rates'!$B$28</f>
        <v>1800</v>
      </c>
      <c r="Y11" s="25">
        <f>IF(O11&lt;'Reference Rates'!$B$31,'Reference Rates'!$B$32,'Reference Rates'!$B$33)</f>
        <v>30</v>
      </c>
      <c r="Z11" s="25">
        <f>MIN(MAX(L11,'Reference Rates'!$B$39),'Reference Rates'!$B$40)*'Reference Rates'!$B$38</f>
        <v>451.75</v>
      </c>
      <c r="AA11" s="25">
        <f>MIN(L11,'Reference Rates'!$B$46)*'Reference Rates'!$B$45</f>
        <v>200</v>
      </c>
      <c r="AB11" s="26">
        <f t="shared" si="7"/>
        <v>2481.75</v>
      </c>
      <c r="AC11" s="27">
        <f t="shared" si="8"/>
        <v>21851.75</v>
      </c>
    </row>
    <row r="12" spans="1:29" x14ac:dyDescent="0.35">
      <c r="A12" s="16" t="s">
        <v>108</v>
      </c>
      <c r="B12" s="17"/>
      <c r="C12" s="16" t="s">
        <v>99</v>
      </c>
      <c r="D12" s="16" t="s">
        <v>106</v>
      </c>
      <c r="E12" s="18" t="s">
        <v>101</v>
      </c>
      <c r="F12" s="19">
        <f>'Reference Rates'!$E$13</f>
        <v>86.875</v>
      </c>
      <c r="G12" s="20">
        <v>208</v>
      </c>
      <c r="H12" s="20">
        <v>8</v>
      </c>
      <c r="I12" s="20">
        <v>0</v>
      </c>
      <c r="J12" s="21">
        <f t="shared" si="0"/>
        <v>18070</v>
      </c>
      <c r="K12" s="21">
        <f t="shared" si="1"/>
        <v>868.75</v>
      </c>
      <c r="L12" s="22">
        <f t="shared" si="2"/>
        <v>18938.75</v>
      </c>
      <c r="M12" s="21">
        <f>'Reference Rates'!$B$19*G12/8</f>
        <v>1300</v>
      </c>
      <c r="N12" s="21">
        <f>I12*IFERROR(INDEX('Reference Rates'!$B$21:$B$22,MATCH(C12,'Reference Rates'!$A$21:$A$22,0)),0)</f>
        <v>0</v>
      </c>
      <c r="O12" s="23">
        <f>MIN('Reference Rates'!$B$30,MAX('Reference Rates'!$B$29,MROUND(L12,500)))</f>
        <v>19000</v>
      </c>
      <c r="P12" s="21">
        <f>O12*'Reference Rates'!$B$27</f>
        <v>950</v>
      </c>
      <c r="Q12" s="21">
        <f>MIN(MAX(L12,'Reference Rates'!$B$39),'Reference Rates'!$B$40)*'Reference Rates'!$B$37</f>
        <v>473.46875</v>
      </c>
      <c r="R12" s="21">
        <f>MIN(L12,'Reference Rates'!$B$46)*IF(L12&gt;1500,'Reference Rates'!$B$43,'Reference Rates'!$B$44)</f>
        <v>200</v>
      </c>
      <c r="S12" s="22">
        <f t="shared" si="3"/>
        <v>1623.46875</v>
      </c>
      <c r="T12" s="21">
        <f t="shared" si="4"/>
        <v>0</v>
      </c>
      <c r="U12" s="21">
        <f>IF(T12&lt;='Reference Rates'!$D$51,0,IF(T12&lt;='Reference Rates'!$D$52,'Reference Rates'!$B$51+(T12-'Reference Rates'!$D$51)*'Reference Rates'!$C$51,IF(T12&lt;='Reference Rates'!$D$53,'Reference Rates'!$B$52+(T12-'Reference Rates'!$D$52)*'Reference Rates'!$C$52,IF(T12&lt;='Reference Rates'!$D$54,'Reference Rates'!$B$53+(T12-'Reference Rates'!$D$53)*'Reference Rates'!$C$53,IF(T12&lt;='Reference Rates'!$D$55,'Reference Rates'!$B$54+(T12-'Reference Rates'!$D$54)*'Reference Rates'!$C$54,'Reference Rates'!$B$55+(T12-'Reference Rates'!$D$55)*'Reference Rates'!$C$55)))))</f>
        <v>0</v>
      </c>
      <c r="V12" s="22">
        <f t="shared" si="5"/>
        <v>1623.46875</v>
      </c>
      <c r="W12" s="24">
        <f t="shared" si="6"/>
        <v>18615.28125</v>
      </c>
      <c r="X12" s="25">
        <f>O12*'Reference Rates'!$B$28</f>
        <v>1900</v>
      </c>
      <c r="Y12" s="25">
        <f>IF(O12&lt;'Reference Rates'!$B$31,'Reference Rates'!$B$32,'Reference Rates'!$B$33)</f>
        <v>30</v>
      </c>
      <c r="Z12" s="25">
        <f>MIN(MAX(L12,'Reference Rates'!$B$39),'Reference Rates'!$B$40)*'Reference Rates'!$B$38</f>
        <v>473.46875</v>
      </c>
      <c r="AA12" s="25">
        <f>MIN(L12,'Reference Rates'!$B$46)*'Reference Rates'!$B$45</f>
        <v>200</v>
      </c>
      <c r="AB12" s="26">
        <f t="shared" si="7"/>
        <v>2603.46875</v>
      </c>
      <c r="AC12" s="27">
        <f t="shared" si="8"/>
        <v>22842.21875</v>
      </c>
    </row>
    <row r="13" spans="1:29" x14ac:dyDescent="0.35">
      <c r="A13" s="16" t="s">
        <v>109</v>
      </c>
      <c r="B13" s="17"/>
      <c r="C13" s="16" t="s">
        <v>99</v>
      </c>
      <c r="D13" s="16" t="s">
        <v>106</v>
      </c>
      <c r="E13" s="18" t="s">
        <v>101</v>
      </c>
      <c r="F13" s="19">
        <f>'Reference Rates'!$E$13</f>
        <v>86.875</v>
      </c>
      <c r="G13" s="20">
        <v>208</v>
      </c>
      <c r="H13" s="20">
        <v>0</v>
      </c>
      <c r="I13" s="20">
        <v>0</v>
      </c>
      <c r="J13" s="21">
        <f t="shared" si="0"/>
        <v>18070</v>
      </c>
      <c r="K13" s="21">
        <f t="shared" si="1"/>
        <v>0</v>
      </c>
      <c r="L13" s="22">
        <f t="shared" si="2"/>
        <v>18070</v>
      </c>
      <c r="M13" s="21">
        <f>'Reference Rates'!$B$19*G13/8</f>
        <v>1300</v>
      </c>
      <c r="N13" s="21">
        <f>I13*IFERROR(INDEX('Reference Rates'!$B$21:$B$22,MATCH(C13,'Reference Rates'!$A$21:$A$22,0)),0)</f>
        <v>0</v>
      </c>
      <c r="O13" s="23">
        <f>MIN('Reference Rates'!$B$30,MAX('Reference Rates'!$B$29,MROUND(L13,500)))</f>
        <v>18000</v>
      </c>
      <c r="P13" s="21">
        <f>O13*'Reference Rates'!$B$27</f>
        <v>900</v>
      </c>
      <c r="Q13" s="21">
        <f>MIN(MAX(L13,'Reference Rates'!$B$39),'Reference Rates'!$B$40)*'Reference Rates'!$B$37</f>
        <v>451.75</v>
      </c>
      <c r="R13" s="21">
        <f>MIN(L13,'Reference Rates'!$B$46)*IF(L13&gt;1500,'Reference Rates'!$B$43,'Reference Rates'!$B$44)</f>
        <v>200</v>
      </c>
      <c r="S13" s="22">
        <f t="shared" si="3"/>
        <v>1551.75</v>
      </c>
      <c r="T13" s="21">
        <f t="shared" si="4"/>
        <v>0</v>
      </c>
      <c r="U13" s="21">
        <f>IF(T13&lt;='Reference Rates'!$D$51,0,IF(T13&lt;='Reference Rates'!$D$52,'Reference Rates'!$B$51+(T13-'Reference Rates'!$D$51)*'Reference Rates'!$C$51,IF(T13&lt;='Reference Rates'!$D$53,'Reference Rates'!$B$52+(T13-'Reference Rates'!$D$52)*'Reference Rates'!$C$52,IF(T13&lt;='Reference Rates'!$D$54,'Reference Rates'!$B$53+(T13-'Reference Rates'!$D$53)*'Reference Rates'!$C$53,IF(T13&lt;='Reference Rates'!$D$55,'Reference Rates'!$B$54+(T13-'Reference Rates'!$D$54)*'Reference Rates'!$C$54,'Reference Rates'!$B$55+(T13-'Reference Rates'!$D$55)*'Reference Rates'!$C$55)))))</f>
        <v>0</v>
      </c>
      <c r="V13" s="22">
        <f t="shared" si="5"/>
        <v>1551.75</v>
      </c>
      <c r="W13" s="24">
        <f t="shared" si="6"/>
        <v>17818.25</v>
      </c>
      <c r="X13" s="25">
        <f>O13*'Reference Rates'!$B$28</f>
        <v>1800</v>
      </c>
      <c r="Y13" s="25">
        <f>IF(O13&lt;'Reference Rates'!$B$31,'Reference Rates'!$B$32,'Reference Rates'!$B$33)</f>
        <v>30</v>
      </c>
      <c r="Z13" s="25">
        <f>MIN(MAX(L13,'Reference Rates'!$B$39),'Reference Rates'!$B$40)*'Reference Rates'!$B$38</f>
        <v>451.75</v>
      </c>
      <c r="AA13" s="25">
        <f>MIN(L13,'Reference Rates'!$B$46)*'Reference Rates'!$B$45</f>
        <v>200</v>
      </c>
      <c r="AB13" s="26">
        <f t="shared" si="7"/>
        <v>2481.75</v>
      </c>
      <c r="AC13" s="27">
        <f t="shared" si="8"/>
        <v>21851.75</v>
      </c>
    </row>
    <row r="14" spans="1:29" x14ac:dyDescent="0.35">
      <c r="A14" s="16" t="s">
        <v>110</v>
      </c>
      <c r="B14" s="17"/>
      <c r="C14" s="16" t="s">
        <v>99</v>
      </c>
      <c r="D14" s="16" t="s">
        <v>106</v>
      </c>
      <c r="E14" s="18" t="s">
        <v>101</v>
      </c>
      <c r="F14" s="19">
        <f>'Reference Rates'!$E$13</f>
        <v>86.875</v>
      </c>
      <c r="G14" s="20">
        <v>208</v>
      </c>
      <c r="H14" s="20">
        <v>0</v>
      </c>
      <c r="I14" s="20">
        <v>0</v>
      </c>
      <c r="J14" s="21">
        <f t="shared" si="0"/>
        <v>18070</v>
      </c>
      <c r="K14" s="21">
        <f t="shared" si="1"/>
        <v>0</v>
      </c>
      <c r="L14" s="22">
        <f t="shared" si="2"/>
        <v>18070</v>
      </c>
      <c r="M14" s="21">
        <f>'Reference Rates'!$B$19*G14/8</f>
        <v>1300</v>
      </c>
      <c r="N14" s="21">
        <f>I14*IFERROR(INDEX('Reference Rates'!$B$21:$B$22,MATCH(C14,'Reference Rates'!$A$21:$A$22,0)),0)</f>
        <v>0</v>
      </c>
      <c r="O14" s="23">
        <f>MIN('Reference Rates'!$B$30,MAX('Reference Rates'!$B$29,MROUND(L14,500)))</f>
        <v>18000</v>
      </c>
      <c r="P14" s="21">
        <f>O14*'Reference Rates'!$B$27</f>
        <v>900</v>
      </c>
      <c r="Q14" s="21">
        <f>MIN(MAX(L14,'Reference Rates'!$B$39),'Reference Rates'!$B$40)*'Reference Rates'!$B$37</f>
        <v>451.75</v>
      </c>
      <c r="R14" s="21">
        <f>MIN(L14,'Reference Rates'!$B$46)*IF(L14&gt;1500,'Reference Rates'!$B$43,'Reference Rates'!$B$44)</f>
        <v>200</v>
      </c>
      <c r="S14" s="22">
        <f t="shared" si="3"/>
        <v>1551.75</v>
      </c>
      <c r="T14" s="21">
        <f t="shared" si="4"/>
        <v>0</v>
      </c>
      <c r="U14" s="21">
        <f>IF(T14&lt;='Reference Rates'!$D$51,0,IF(T14&lt;='Reference Rates'!$D$52,'Reference Rates'!$B$51+(T14-'Reference Rates'!$D$51)*'Reference Rates'!$C$51,IF(T14&lt;='Reference Rates'!$D$53,'Reference Rates'!$B$52+(T14-'Reference Rates'!$D$52)*'Reference Rates'!$C$52,IF(T14&lt;='Reference Rates'!$D$54,'Reference Rates'!$B$53+(T14-'Reference Rates'!$D$53)*'Reference Rates'!$C$53,IF(T14&lt;='Reference Rates'!$D$55,'Reference Rates'!$B$54+(T14-'Reference Rates'!$D$54)*'Reference Rates'!$C$54,'Reference Rates'!$B$55+(T14-'Reference Rates'!$D$55)*'Reference Rates'!$C$55)))))</f>
        <v>0</v>
      </c>
      <c r="V14" s="22">
        <f t="shared" si="5"/>
        <v>1551.75</v>
      </c>
      <c r="W14" s="24">
        <f t="shared" si="6"/>
        <v>17818.25</v>
      </c>
      <c r="X14" s="25">
        <f>O14*'Reference Rates'!$B$28</f>
        <v>1800</v>
      </c>
      <c r="Y14" s="25">
        <f>IF(O14&lt;'Reference Rates'!$B$31,'Reference Rates'!$B$32,'Reference Rates'!$B$33)</f>
        <v>30</v>
      </c>
      <c r="Z14" s="25">
        <f>MIN(MAX(L14,'Reference Rates'!$B$39),'Reference Rates'!$B$40)*'Reference Rates'!$B$38</f>
        <v>451.75</v>
      </c>
      <c r="AA14" s="25">
        <f>MIN(L14,'Reference Rates'!$B$46)*'Reference Rates'!$B$45</f>
        <v>200</v>
      </c>
      <c r="AB14" s="26">
        <f t="shared" si="7"/>
        <v>2481.75</v>
      </c>
      <c r="AC14" s="27">
        <f t="shared" si="8"/>
        <v>21851.75</v>
      </c>
    </row>
    <row r="15" spans="1:29" x14ac:dyDescent="0.35">
      <c r="A15" s="16" t="s">
        <v>111</v>
      </c>
      <c r="B15" s="17"/>
      <c r="C15" s="16" t="s">
        <v>99</v>
      </c>
      <c r="D15" s="16" t="s">
        <v>112</v>
      </c>
      <c r="E15" s="18" t="s">
        <v>101</v>
      </c>
      <c r="F15" s="19">
        <f>'Reference Rates'!$E$13</f>
        <v>86.875</v>
      </c>
      <c r="G15" s="20">
        <v>200</v>
      </c>
      <c r="H15" s="20">
        <v>8</v>
      </c>
      <c r="I15" s="20">
        <v>0</v>
      </c>
      <c r="J15" s="21">
        <f t="shared" si="0"/>
        <v>17375</v>
      </c>
      <c r="K15" s="21">
        <f t="shared" si="1"/>
        <v>868.75</v>
      </c>
      <c r="L15" s="22">
        <f t="shared" si="2"/>
        <v>18243.75</v>
      </c>
      <c r="M15" s="21">
        <f>'Reference Rates'!$B$19*G15/8</f>
        <v>1250</v>
      </c>
      <c r="N15" s="21">
        <f>I15*IFERROR(INDEX('Reference Rates'!$B$21:$B$22,MATCH(C15,'Reference Rates'!$A$21:$A$22,0)),0)</f>
        <v>0</v>
      </c>
      <c r="O15" s="23">
        <f>MIN('Reference Rates'!$B$30,MAX('Reference Rates'!$B$29,MROUND(L15,500)))</f>
        <v>18000</v>
      </c>
      <c r="P15" s="21">
        <f>O15*'Reference Rates'!$B$27</f>
        <v>900</v>
      </c>
      <c r="Q15" s="21">
        <f>MIN(MAX(L15,'Reference Rates'!$B$39),'Reference Rates'!$B$40)*'Reference Rates'!$B$37</f>
        <v>456.09375</v>
      </c>
      <c r="R15" s="21">
        <f>MIN(L15,'Reference Rates'!$B$46)*IF(L15&gt;1500,'Reference Rates'!$B$43,'Reference Rates'!$B$44)</f>
        <v>200</v>
      </c>
      <c r="S15" s="22">
        <f t="shared" si="3"/>
        <v>1556.09375</v>
      </c>
      <c r="T15" s="21">
        <f t="shared" si="4"/>
        <v>0</v>
      </c>
      <c r="U15" s="21">
        <f>IF(T15&lt;='Reference Rates'!$D$51,0,IF(T15&lt;='Reference Rates'!$D$52,'Reference Rates'!$B$51+(T15-'Reference Rates'!$D$51)*'Reference Rates'!$C$51,IF(T15&lt;='Reference Rates'!$D$53,'Reference Rates'!$B$52+(T15-'Reference Rates'!$D$52)*'Reference Rates'!$C$52,IF(T15&lt;='Reference Rates'!$D$54,'Reference Rates'!$B$53+(T15-'Reference Rates'!$D$53)*'Reference Rates'!$C$53,IF(T15&lt;='Reference Rates'!$D$55,'Reference Rates'!$B$54+(T15-'Reference Rates'!$D$54)*'Reference Rates'!$C$54,'Reference Rates'!$B$55+(T15-'Reference Rates'!$D$55)*'Reference Rates'!$C$55)))))</f>
        <v>0</v>
      </c>
      <c r="V15" s="22">
        <f t="shared" si="5"/>
        <v>1556.09375</v>
      </c>
      <c r="W15" s="24">
        <f t="shared" si="6"/>
        <v>17937.65625</v>
      </c>
      <c r="X15" s="25">
        <f>O15*'Reference Rates'!$B$28</f>
        <v>1800</v>
      </c>
      <c r="Y15" s="25">
        <f>IF(O15&lt;'Reference Rates'!$B$31,'Reference Rates'!$B$32,'Reference Rates'!$B$33)</f>
        <v>30</v>
      </c>
      <c r="Z15" s="25">
        <f>MIN(MAX(L15,'Reference Rates'!$B$39),'Reference Rates'!$B$40)*'Reference Rates'!$B$38</f>
        <v>456.09375</v>
      </c>
      <c r="AA15" s="25">
        <f>MIN(L15,'Reference Rates'!$B$46)*'Reference Rates'!$B$45</f>
        <v>200</v>
      </c>
      <c r="AB15" s="26">
        <f t="shared" si="7"/>
        <v>2486.09375</v>
      </c>
      <c r="AC15" s="27">
        <f t="shared" si="8"/>
        <v>21979.84375</v>
      </c>
    </row>
    <row r="16" spans="1:29" x14ac:dyDescent="0.35">
      <c r="A16" s="16" t="s">
        <v>113</v>
      </c>
      <c r="B16" s="17"/>
      <c r="C16" s="16" t="s">
        <v>99</v>
      </c>
      <c r="D16" s="16" t="s">
        <v>112</v>
      </c>
      <c r="E16" s="18" t="s">
        <v>101</v>
      </c>
      <c r="F16" s="19">
        <f>'Reference Rates'!$E$13</f>
        <v>86.875</v>
      </c>
      <c r="G16" s="20">
        <v>208</v>
      </c>
      <c r="H16" s="20">
        <v>0</v>
      </c>
      <c r="I16" s="20">
        <v>0</v>
      </c>
      <c r="J16" s="21">
        <f t="shared" si="0"/>
        <v>18070</v>
      </c>
      <c r="K16" s="21">
        <f t="shared" si="1"/>
        <v>0</v>
      </c>
      <c r="L16" s="22">
        <f t="shared" si="2"/>
        <v>18070</v>
      </c>
      <c r="M16" s="21">
        <f>'Reference Rates'!$B$19*G16/8</f>
        <v>1300</v>
      </c>
      <c r="N16" s="21">
        <f>I16*IFERROR(INDEX('Reference Rates'!$B$21:$B$22,MATCH(C16,'Reference Rates'!$A$21:$A$22,0)),0)</f>
        <v>0</v>
      </c>
      <c r="O16" s="23">
        <f>MIN('Reference Rates'!$B$30,MAX('Reference Rates'!$B$29,MROUND(L16,500)))</f>
        <v>18000</v>
      </c>
      <c r="P16" s="21">
        <f>O16*'Reference Rates'!$B$27</f>
        <v>900</v>
      </c>
      <c r="Q16" s="21">
        <f>MIN(MAX(L16,'Reference Rates'!$B$39),'Reference Rates'!$B$40)*'Reference Rates'!$B$37</f>
        <v>451.75</v>
      </c>
      <c r="R16" s="21">
        <f>MIN(L16,'Reference Rates'!$B$46)*IF(L16&gt;1500,'Reference Rates'!$B$43,'Reference Rates'!$B$44)</f>
        <v>200</v>
      </c>
      <c r="S16" s="22">
        <f t="shared" si="3"/>
        <v>1551.75</v>
      </c>
      <c r="T16" s="21">
        <f t="shared" si="4"/>
        <v>0</v>
      </c>
      <c r="U16" s="21">
        <f>IF(T16&lt;='Reference Rates'!$D$51,0,IF(T16&lt;='Reference Rates'!$D$52,'Reference Rates'!$B$51+(T16-'Reference Rates'!$D$51)*'Reference Rates'!$C$51,IF(T16&lt;='Reference Rates'!$D$53,'Reference Rates'!$B$52+(T16-'Reference Rates'!$D$52)*'Reference Rates'!$C$52,IF(T16&lt;='Reference Rates'!$D$54,'Reference Rates'!$B$53+(T16-'Reference Rates'!$D$53)*'Reference Rates'!$C$53,IF(T16&lt;='Reference Rates'!$D$55,'Reference Rates'!$B$54+(T16-'Reference Rates'!$D$54)*'Reference Rates'!$C$54,'Reference Rates'!$B$55+(T16-'Reference Rates'!$D$55)*'Reference Rates'!$C$55)))))</f>
        <v>0</v>
      </c>
      <c r="V16" s="22">
        <f t="shared" si="5"/>
        <v>1551.75</v>
      </c>
      <c r="W16" s="24">
        <f t="shared" si="6"/>
        <v>17818.25</v>
      </c>
      <c r="X16" s="25">
        <f>O16*'Reference Rates'!$B$28</f>
        <v>1800</v>
      </c>
      <c r="Y16" s="25">
        <f>IF(O16&lt;'Reference Rates'!$B$31,'Reference Rates'!$B$32,'Reference Rates'!$B$33)</f>
        <v>30</v>
      </c>
      <c r="Z16" s="25">
        <f>MIN(MAX(L16,'Reference Rates'!$B$39),'Reference Rates'!$B$40)*'Reference Rates'!$B$38</f>
        <v>451.75</v>
      </c>
      <c r="AA16" s="25">
        <f>MIN(L16,'Reference Rates'!$B$46)*'Reference Rates'!$B$45</f>
        <v>200</v>
      </c>
      <c r="AB16" s="26">
        <f t="shared" si="7"/>
        <v>2481.75</v>
      </c>
      <c r="AC16" s="27">
        <f t="shared" si="8"/>
        <v>21851.75</v>
      </c>
    </row>
    <row r="17" spans="1:29" x14ac:dyDescent="0.35">
      <c r="A17" s="16" t="s">
        <v>114</v>
      </c>
      <c r="B17" s="17"/>
      <c r="C17" s="16" t="s">
        <v>99</v>
      </c>
      <c r="D17" s="16" t="s">
        <v>112</v>
      </c>
      <c r="E17" s="18" t="s">
        <v>101</v>
      </c>
      <c r="F17" s="19">
        <f>'Reference Rates'!$E$13</f>
        <v>86.875</v>
      </c>
      <c r="G17" s="20">
        <v>208</v>
      </c>
      <c r="H17" s="20">
        <v>0</v>
      </c>
      <c r="I17" s="20">
        <v>0</v>
      </c>
      <c r="J17" s="21">
        <f t="shared" si="0"/>
        <v>18070</v>
      </c>
      <c r="K17" s="21">
        <f t="shared" si="1"/>
        <v>0</v>
      </c>
      <c r="L17" s="22">
        <f t="shared" si="2"/>
        <v>18070</v>
      </c>
      <c r="M17" s="21">
        <f>'Reference Rates'!$B$19*G17/8</f>
        <v>1300</v>
      </c>
      <c r="N17" s="21">
        <f>I17*IFERROR(INDEX('Reference Rates'!$B$21:$B$22,MATCH(C17,'Reference Rates'!$A$21:$A$22,0)),0)</f>
        <v>0</v>
      </c>
      <c r="O17" s="23">
        <f>MIN('Reference Rates'!$B$30,MAX('Reference Rates'!$B$29,MROUND(L17,500)))</f>
        <v>18000</v>
      </c>
      <c r="P17" s="21">
        <f>O17*'Reference Rates'!$B$27</f>
        <v>900</v>
      </c>
      <c r="Q17" s="21">
        <f>MIN(MAX(L17,'Reference Rates'!$B$39),'Reference Rates'!$B$40)*'Reference Rates'!$B$37</f>
        <v>451.75</v>
      </c>
      <c r="R17" s="21">
        <f>MIN(L17,'Reference Rates'!$B$46)*IF(L17&gt;1500,'Reference Rates'!$B$43,'Reference Rates'!$B$44)</f>
        <v>200</v>
      </c>
      <c r="S17" s="22">
        <f t="shared" si="3"/>
        <v>1551.75</v>
      </c>
      <c r="T17" s="21">
        <f t="shared" si="4"/>
        <v>0</v>
      </c>
      <c r="U17" s="21">
        <f>IF(T17&lt;='Reference Rates'!$D$51,0,IF(T17&lt;='Reference Rates'!$D$52,'Reference Rates'!$B$51+(T17-'Reference Rates'!$D$51)*'Reference Rates'!$C$51,IF(T17&lt;='Reference Rates'!$D$53,'Reference Rates'!$B$52+(T17-'Reference Rates'!$D$52)*'Reference Rates'!$C$52,IF(T17&lt;='Reference Rates'!$D$54,'Reference Rates'!$B$53+(T17-'Reference Rates'!$D$53)*'Reference Rates'!$C$53,IF(T17&lt;='Reference Rates'!$D$55,'Reference Rates'!$B$54+(T17-'Reference Rates'!$D$54)*'Reference Rates'!$C$54,'Reference Rates'!$B$55+(T17-'Reference Rates'!$D$55)*'Reference Rates'!$C$55)))))</f>
        <v>0</v>
      </c>
      <c r="V17" s="22">
        <f t="shared" si="5"/>
        <v>1551.75</v>
      </c>
      <c r="W17" s="24">
        <f t="shared" si="6"/>
        <v>17818.25</v>
      </c>
      <c r="X17" s="25">
        <f>O17*'Reference Rates'!$B$28</f>
        <v>1800</v>
      </c>
      <c r="Y17" s="25">
        <f>IF(O17&lt;'Reference Rates'!$B$31,'Reference Rates'!$B$32,'Reference Rates'!$B$33)</f>
        <v>30</v>
      </c>
      <c r="Z17" s="25">
        <f>MIN(MAX(L17,'Reference Rates'!$B$39),'Reference Rates'!$B$40)*'Reference Rates'!$B$38</f>
        <v>451.75</v>
      </c>
      <c r="AA17" s="25">
        <f>MIN(L17,'Reference Rates'!$B$46)*'Reference Rates'!$B$45</f>
        <v>200</v>
      </c>
      <c r="AB17" s="26">
        <f t="shared" si="7"/>
        <v>2481.75</v>
      </c>
      <c r="AC17" s="27">
        <f t="shared" si="8"/>
        <v>21851.75</v>
      </c>
    </row>
    <row r="18" spans="1:29" x14ac:dyDescent="0.35">
      <c r="A18" s="16" t="s">
        <v>115</v>
      </c>
      <c r="B18" s="17" t="s">
        <v>172</v>
      </c>
      <c r="C18" s="16" t="s">
        <v>116</v>
      </c>
      <c r="D18" s="16" t="s">
        <v>117</v>
      </c>
      <c r="E18" s="18" t="s">
        <v>101</v>
      </c>
      <c r="F18" s="19">
        <f>'Reference Rates'!$E$13</f>
        <v>86.875</v>
      </c>
      <c r="G18" s="20">
        <v>208</v>
      </c>
      <c r="H18" s="20">
        <v>11</v>
      </c>
      <c r="I18" s="20">
        <v>0</v>
      </c>
      <c r="J18" s="21">
        <f t="shared" si="0"/>
        <v>18070</v>
      </c>
      <c r="K18" s="21">
        <f t="shared" si="1"/>
        <v>1194.53125</v>
      </c>
      <c r="L18" s="22">
        <f t="shared" si="2"/>
        <v>19264.53125</v>
      </c>
      <c r="M18" s="21">
        <f>'Reference Rates'!$B$19*G18/8</f>
        <v>1300</v>
      </c>
      <c r="N18" s="21">
        <f>I18*IFERROR(INDEX('Reference Rates'!$B$21:$B$22,MATCH(C18,'Reference Rates'!$A$21:$A$22,0)),0)</f>
        <v>0</v>
      </c>
      <c r="O18" s="23">
        <f>MIN('Reference Rates'!$B$30,MAX('Reference Rates'!$B$29,MROUND(L18,500)))</f>
        <v>19500</v>
      </c>
      <c r="P18" s="21">
        <f>O18*'Reference Rates'!$B$27</f>
        <v>975</v>
      </c>
      <c r="Q18" s="21">
        <f>MIN(MAX(L18,'Reference Rates'!$B$39),'Reference Rates'!$B$40)*'Reference Rates'!$B$37</f>
        <v>481.61328125</v>
      </c>
      <c r="R18" s="21">
        <f>MIN(L18,'Reference Rates'!$B$46)*IF(L18&gt;1500,'Reference Rates'!$B$43,'Reference Rates'!$B$44)</f>
        <v>200</v>
      </c>
      <c r="S18" s="22">
        <f t="shared" si="3"/>
        <v>1656.61328125</v>
      </c>
      <c r="T18" s="21">
        <f t="shared" si="4"/>
        <v>0</v>
      </c>
      <c r="U18" s="21">
        <f>IF(T18&lt;='Reference Rates'!$D$51,0,IF(T18&lt;='Reference Rates'!$D$52,'Reference Rates'!$B$51+(T18-'Reference Rates'!$D$51)*'Reference Rates'!$C$51,IF(T18&lt;='Reference Rates'!$D$53,'Reference Rates'!$B$52+(T18-'Reference Rates'!$D$52)*'Reference Rates'!$C$52,IF(T18&lt;='Reference Rates'!$D$54,'Reference Rates'!$B$53+(T18-'Reference Rates'!$D$53)*'Reference Rates'!$C$53,IF(T18&lt;='Reference Rates'!$D$55,'Reference Rates'!$B$54+(T18-'Reference Rates'!$D$54)*'Reference Rates'!$C$54,'Reference Rates'!$B$55+(T18-'Reference Rates'!$D$55)*'Reference Rates'!$C$55)))))</f>
        <v>0</v>
      </c>
      <c r="V18" s="22">
        <f t="shared" si="5"/>
        <v>1656.61328125</v>
      </c>
      <c r="W18" s="24">
        <f t="shared" si="6"/>
        <v>18907.91796875</v>
      </c>
      <c r="X18" s="25">
        <f>O18*'Reference Rates'!$B$28</f>
        <v>1950</v>
      </c>
      <c r="Y18" s="25">
        <f>IF(O18&lt;'Reference Rates'!$B$31,'Reference Rates'!$B$32,'Reference Rates'!$B$33)</f>
        <v>30</v>
      </c>
      <c r="Z18" s="25">
        <f>MIN(MAX(L18,'Reference Rates'!$B$39),'Reference Rates'!$B$40)*'Reference Rates'!$B$38</f>
        <v>481.61328125</v>
      </c>
      <c r="AA18" s="25">
        <f>MIN(L18,'Reference Rates'!$B$46)*'Reference Rates'!$B$45</f>
        <v>200</v>
      </c>
      <c r="AB18" s="26">
        <f t="shared" si="7"/>
        <v>2661.61328125</v>
      </c>
      <c r="AC18" s="27">
        <f t="shared" si="8"/>
        <v>23226.14453125</v>
      </c>
    </row>
    <row r="19" spans="1:29" x14ac:dyDescent="0.35">
      <c r="A19" s="16" t="s">
        <v>118</v>
      </c>
      <c r="B19" s="17"/>
      <c r="C19" s="16" t="s">
        <v>116</v>
      </c>
      <c r="D19" s="16" t="s">
        <v>117</v>
      </c>
      <c r="E19" s="18" t="s">
        <v>101</v>
      </c>
      <c r="F19" s="19">
        <f>'Reference Rates'!$E$13</f>
        <v>86.875</v>
      </c>
      <c r="G19" s="20">
        <v>208</v>
      </c>
      <c r="H19" s="20">
        <v>4</v>
      </c>
      <c r="I19" s="20">
        <v>0</v>
      </c>
      <c r="J19" s="21">
        <f t="shared" si="0"/>
        <v>18070</v>
      </c>
      <c r="K19" s="21">
        <f t="shared" si="1"/>
        <v>434.375</v>
      </c>
      <c r="L19" s="22">
        <f t="shared" si="2"/>
        <v>18504.375</v>
      </c>
      <c r="M19" s="21">
        <f>'Reference Rates'!$B$19*G19/8</f>
        <v>1300</v>
      </c>
      <c r="N19" s="21">
        <f>I19*IFERROR(INDEX('Reference Rates'!$B$21:$B$22,MATCH(C19,'Reference Rates'!$A$21:$A$22,0)),0)</f>
        <v>0</v>
      </c>
      <c r="O19" s="23">
        <f>MIN('Reference Rates'!$B$30,MAX('Reference Rates'!$B$29,MROUND(L19,500)))</f>
        <v>18500</v>
      </c>
      <c r="P19" s="21">
        <f>O19*'Reference Rates'!$B$27</f>
        <v>925</v>
      </c>
      <c r="Q19" s="21">
        <f>MIN(MAX(L19,'Reference Rates'!$B$39),'Reference Rates'!$B$40)*'Reference Rates'!$B$37</f>
        <v>462.609375</v>
      </c>
      <c r="R19" s="21">
        <f>MIN(L19,'Reference Rates'!$B$46)*IF(L19&gt;1500,'Reference Rates'!$B$43,'Reference Rates'!$B$44)</f>
        <v>200</v>
      </c>
      <c r="S19" s="22">
        <f t="shared" si="3"/>
        <v>1587.609375</v>
      </c>
      <c r="T19" s="21">
        <f t="shared" si="4"/>
        <v>0</v>
      </c>
      <c r="U19" s="21">
        <f>IF(T19&lt;='Reference Rates'!$D$51,0,IF(T19&lt;='Reference Rates'!$D$52,'Reference Rates'!$B$51+(T19-'Reference Rates'!$D$51)*'Reference Rates'!$C$51,IF(T19&lt;='Reference Rates'!$D$53,'Reference Rates'!$B$52+(T19-'Reference Rates'!$D$52)*'Reference Rates'!$C$52,IF(T19&lt;='Reference Rates'!$D$54,'Reference Rates'!$B$53+(T19-'Reference Rates'!$D$53)*'Reference Rates'!$C$53,IF(T19&lt;='Reference Rates'!$D$55,'Reference Rates'!$B$54+(T19-'Reference Rates'!$D$54)*'Reference Rates'!$C$54,'Reference Rates'!$B$55+(T19-'Reference Rates'!$D$55)*'Reference Rates'!$C$55)))))</f>
        <v>0</v>
      </c>
      <c r="V19" s="22">
        <f t="shared" si="5"/>
        <v>1587.609375</v>
      </c>
      <c r="W19" s="24">
        <f t="shared" si="6"/>
        <v>18216.765625</v>
      </c>
      <c r="X19" s="25">
        <f>O19*'Reference Rates'!$B$28</f>
        <v>1850</v>
      </c>
      <c r="Y19" s="25">
        <f>IF(O19&lt;'Reference Rates'!$B$31,'Reference Rates'!$B$32,'Reference Rates'!$B$33)</f>
        <v>30</v>
      </c>
      <c r="Z19" s="25">
        <f>MIN(MAX(L19,'Reference Rates'!$B$39),'Reference Rates'!$B$40)*'Reference Rates'!$B$38</f>
        <v>462.609375</v>
      </c>
      <c r="AA19" s="25">
        <f>MIN(L19,'Reference Rates'!$B$46)*'Reference Rates'!$B$45</f>
        <v>200</v>
      </c>
      <c r="AB19" s="26">
        <f t="shared" si="7"/>
        <v>2542.609375</v>
      </c>
      <c r="AC19" s="27">
        <f t="shared" si="8"/>
        <v>22346.984375</v>
      </c>
    </row>
    <row r="20" spans="1:29" x14ac:dyDescent="0.35">
      <c r="A20" s="16" t="s">
        <v>119</v>
      </c>
      <c r="B20" s="17"/>
      <c r="C20" s="16" t="s">
        <v>116</v>
      </c>
      <c r="D20" s="16" t="s">
        <v>117</v>
      </c>
      <c r="E20" s="18" t="s">
        <v>101</v>
      </c>
      <c r="F20" s="19">
        <f>'Reference Rates'!$E$13</f>
        <v>86.875</v>
      </c>
      <c r="G20" s="20">
        <v>208</v>
      </c>
      <c r="H20" s="20">
        <v>6</v>
      </c>
      <c r="I20" s="20">
        <v>0</v>
      </c>
      <c r="J20" s="21">
        <f t="shared" si="0"/>
        <v>18070</v>
      </c>
      <c r="K20" s="21">
        <f t="shared" si="1"/>
        <v>651.5625</v>
      </c>
      <c r="L20" s="22">
        <f t="shared" si="2"/>
        <v>18721.5625</v>
      </c>
      <c r="M20" s="21">
        <f>'Reference Rates'!$B$19*G20/8</f>
        <v>1300</v>
      </c>
      <c r="N20" s="21">
        <f>I20*IFERROR(INDEX('Reference Rates'!$B$21:$B$22,MATCH(C20,'Reference Rates'!$A$21:$A$22,0)),0)</f>
        <v>0</v>
      </c>
      <c r="O20" s="23">
        <f>MIN('Reference Rates'!$B$30,MAX('Reference Rates'!$B$29,MROUND(L20,500)))</f>
        <v>18500</v>
      </c>
      <c r="P20" s="21">
        <f>O20*'Reference Rates'!$B$27</f>
        <v>925</v>
      </c>
      <c r="Q20" s="21">
        <f>MIN(MAX(L20,'Reference Rates'!$B$39),'Reference Rates'!$B$40)*'Reference Rates'!$B$37</f>
        <v>468.0390625</v>
      </c>
      <c r="R20" s="21">
        <f>MIN(L20,'Reference Rates'!$B$46)*IF(L20&gt;1500,'Reference Rates'!$B$43,'Reference Rates'!$B$44)</f>
        <v>200</v>
      </c>
      <c r="S20" s="22">
        <f t="shared" si="3"/>
        <v>1593.0390625</v>
      </c>
      <c r="T20" s="21">
        <f t="shared" si="4"/>
        <v>0</v>
      </c>
      <c r="U20" s="21">
        <f>IF(T20&lt;='Reference Rates'!$D$51,0,IF(T20&lt;='Reference Rates'!$D$52,'Reference Rates'!$B$51+(T20-'Reference Rates'!$D$51)*'Reference Rates'!$C$51,IF(T20&lt;='Reference Rates'!$D$53,'Reference Rates'!$B$52+(T20-'Reference Rates'!$D$52)*'Reference Rates'!$C$52,IF(T20&lt;='Reference Rates'!$D$54,'Reference Rates'!$B$53+(T20-'Reference Rates'!$D$53)*'Reference Rates'!$C$53,IF(T20&lt;='Reference Rates'!$D$55,'Reference Rates'!$B$54+(T20-'Reference Rates'!$D$54)*'Reference Rates'!$C$54,'Reference Rates'!$B$55+(T20-'Reference Rates'!$D$55)*'Reference Rates'!$C$55)))))</f>
        <v>0</v>
      </c>
      <c r="V20" s="22">
        <f t="shared" si="5"/>
        <v>1593.0390625</v>
      </c>
      <c r="W20" s="24">
        <f t="shared" si="6"/>
        <v>18428.5234375</v>
      </c>
      <c r="X20" s="25">
        <f>O20*'Reference Rates'!$B$28</f>
        <v>1850</v>
      </c>
      <c r="Y20" s="25">
        <f>IF(O20&lt;'Reference Rates'!$B$31,'Reference Rates'!$B$32,'Reference Rates'!$B$33)</f>
        <v>30</v>
      </c>
      <c r="Z20" s="25">
        <f>MIN(MAX(L20,'Reference Rates'!$B$39),'Reference Rates'!$B$40)*'Reference Rates'!$B$38</f>
        <v>468.0390625</v>
      </c>
      <c r="AA20" s="25">
        <f>MIN(L20,'Reference Rates'!$B$46)*'Reference Rates'!$B$45</f>
        <v>200</v>
      </c>
      <c r="AB20" s="26">
        <f t="shared" si="7"/>
        <v>2548.0390625</v>
      </c>
      <c r="AC20" s="27">
        <f t="shared" si="8"/>
        <v>22569.6015625</v>
      </c>
    </row>
    <row r="21" spans="1:29" x14ac:dyDescent="0.35">
      <c r="A21" s="16" t="s">
        <v>120</v>
      </c>
      <c r="B21" s="17"/>
      <c r="C21" s="16" t="s">
        <v>116</v>
      </c>
      <c r="D21" s="16" t="s">
        <v>121</v>
      </c>
      <c r="E21" s="18" t="s">
        <v>101</v>
      </c>
      <c r="F21" s="19">
        <f>'Reference Rates'!$E$13</f>
        <v>86.875</v>
      </c>
      <c r="G21" s="20">
        <v>208</v>
      </c>
      <c r="H21" s="20">
        <v>0</v>
      </c>
      <c r="I21" s="20">
        <v>0</v>
      </c>
      <c r="J21" s="21">
        <f t="shared" si="0"/>
        <v>18070</v>
      </c>
      <c r="K21" s="21">
        <f t="shared" si="1"/>
        <v>0</v>
      </c>
      <c r="L21" s="22">
        <f t="shared" si="2"/>
        <v>18070</v>
      </c>
      <c r="M21" s="21">
        <f>'Reference Rates'!$B$19*G21/8</f>
        <v>1300</v>
      </c>
      <c r="N21" s="21">
        <f>I21*IFERROR(INDEX('Reference Rates'!$B$21:$B$22,MATCH(C21,'Reference Rates'!$A$21:$A$22,0)),0)</f>
        <v>0</v>
      </c>
      <c r="O21" s="23">
        <f>MIN('Reference Rates'!$B$30,MAX('Reference Rates'!$B$29,MROUND(L21,500)))</f>
        <v>18000</v>
      </c>
      <c r="P21" s="21">
        <f>O21*'Reference Rates'!$B$27</f>
        <v>900</v>
      </c>
      <c r="Q21" s="21">
        <f>MIN(MAX(L21,'Reference Rates'!$B$39),'Reference Rates'!$B$40)*'Reference Rates'!$B$37</f>
        <v>451.75</v>
      </c>
      <c r="R21" s="21">
        <f>MIN(L21,'Reference Rates'!$B$46)*IF(L21&gt;1500,'Reference Rates'!$B$43,'Reference Rates'!$B$44)</f>
        <v>200</v>
      </c>
      <c r="S21" s="22">
        <f t="shared" si="3"/>
        <v>1551.75</v>
      </c>
      <c r="T21" s="21">
        <f t="shared" si="4"/>
        <v>0</v>
      </c>
      <c r="U21" s="21">
        <f>IF(T21&lt;='Reference Rates'!$D$51,0,IF(T21&lt;='Reference Rates'!$D$52,'Reference Rates'!$B$51+(T21-'Reference Rates'!$D$51)*'Reference Rates'!$C$51,IF(T21&lt;='Reference Rates'!$D$53,'Reference Rates'!$B$52+(T21-'Reference Rates'!$D$52)*'Reference Rates'!$C$52,IF(T21&lt;='Reference Rates'!$D$54,'Reference Rates'!$B$53+(T21-'Reference Rates'!$D$53)*'Reference Rates'!$C$53,IF(T21&lt;='Reference Rates'!$D$55,'Reference Rates'!$B$54+(T21-'Reference Rates'!$D$54)*'Reference Rates'!$C$54,'Reference Rates'!$B$55+(T21-'Reference Rates'!$D$55)*'Reference Rates'!$C$55)))))</f>
        <v>0</v>
      </c>
      <c r="V21" s="22">
        <f t="shared" si="5"/>
        <v>1551.75</v>
      </c>
      <c r="W21" s="24">
        <f t="shared" si="6"/>
        <v>17818.25</v>
      </c>
      <c r="X21" s="25">
        <f>O21*'Reference Rates'!$B$28</f>
        <v>1800</v>
      </c>
      <c r="Y21" s="25">
        <f>IF(O21&lt;'Reference Rates'!$B$31,'Reference Rates'!$B$32,'Reference Rates'!$B$33)</f>
        <v>30</v>
      </c>
      <c r="Z21" s="25">
        <f>MIN(MAX(L21,'Reference Rates'!$B$39),'Reference Rates'!$B$40)*'Reference Rates'!$B$38</f>
        <v>451.75</v>
      </c>
      <c r="AA21" s="25">
        <f>MIN(L21,'Reference Rates'!$B$46)*'Reference Rates'!$B$45</f>
        <v>200</v>
      </c>
      <c r="AB21" s="26">
        <f t="shared" si="7"/>
        <v>2481.75</v>
      </c>
      <c r="AC21" s="27">
        <f t="shared" si="8"/>
        <v>21851.75</v>
      </c>
    </row>
    <row r="22" spans="1:29" x14ac:dyDescent="0.35">
      <c r="A22" s="16" t="s">
        <v>122</v>
      </c>
      <c r="B22" s="17"/>
      <c r="C22" s="16" t="s">
        <v>116</v>
      </c>
      <c r="D22" s="16" t="s">
        <v>121</v>
      </c>
      <c r="E22" s="18" t="s">
        <v>101</v>
      </c>
      <c r="F22" s="19">
        <f>'Reference Rates'!$E$13</f>
        <v>86.875</v>
      </c>
      <c r="G22" s="20">
        <v>208</v>
      </c>
      <c r="H22" s="20">
        <v>5</v>
      </c>
      <c r="I22" s="20">
        <v>0</v>
      </c>
      <c r="J22" s="21">
        <f t="shared" si="0"/>
        <v>18070</v>
      </c>
      <c r="K22" s="21">
        <f t="shared" si="1"/>
        <v>542.96875</v>
      </c>
      <c r="L22" s="22">
        <f t="shared" si="2"/>
        <v>18612.96875</v>
      </c>
      <c r="M22" s="21">
        <f>'Reference Rates'!$B$19*G22/8</f>
        <v>1300</v>
      </c>
      <c r="N22" s="21">
        <f>I22*IFERROR(INDEX('Reference Rates'!$B$21:$B$22,MATCH(C22,'Reference Rates'!$A$21:$A$22,0)),0)</f>
        <v>0</v>
      </c>
      <c r="O22" s="23">
        <f>MIN('Reference Rates'!$B$30,MAX('Reference Rates'!$B$29,MROUND(L22,500)))</f>
        <v>18500</v>
      </c>
      <c r="P22" s="21">
        <f>O22*'Reference Rates'!$B$27</f>
        <v>925</v>
      </c>
      <c r="Q22" s="21">
        <f>MIN(MAX(L22,'Reference Rates'!$B$39),'Reference Rates'!$B$40)*'Reference Rates'!$B$37</f>
        <v>465.32421875</v>
      </c>
      <c r="R22" s="21">
        <f>MIN(L22,'Reference Rates'!$B$46)*IF(L22&gt;1500,'Reference Rates'!$B$43,'Reference Rates'!$B$44)</f>
        <v>200</v>
      </c>
      <c r="S22" s="22">
        <f t="shared" si="3"/>
        <v>1590.32421875</v>
      </c>
      <c r="T22" s="21">
        <f t="shared" si="4"/>
        <v>0</v>
      </c>
      <c r="U22" s="21">
        <f>IF(T22&lt;='Reference Rates'!$D$51,0,IF(T22&lt;='Reference Rates'!$D$52,'Reference Rates'!$B$51+(T22-'Reference Rates'!$D$51)*'Reference Rates'!$C$51,IF(T22&lt;='Reference Rates'!$D$53,'Reference Rates'!$B$52+(T22-'Reference Rates'!$D$52)*'Reference Rates'!$C$52,IF(T22&lt;='Reference Rates'!$D$54,'Reference Rates'!$B$53+(T22-'Reference Rates'!$D$53)*'Reference Rates'!$C$53,IF(T22&lt;='Reference Rates'!$D$55,'Reference Rates'!$B$54+(T22-'Reference Rates'!$D$54)*'Reference Rates'!$C$54,'Reference Rates'!$B$55+(T22-'Reference Rates'!$D$55)*'Reference Rates'!$C$55)))))</f>
        <v>0</v>
      </c>
      <c r="V22" s="22">
        <f t="shared" si="5"/>
        <v>1590.32421875</v>
      </c>
      <c r="W22" s="24">
        <f t="shared" si="6"/>
        <v>18322.64453125</v>
      </c>
      <c r="X22" s="25">
        <f>O22*'Reference Rates'!$B$28</f>
        <v>1850</v>
      </c>
      <c r="Y22" s="25">
        <f>IF(O22&lt;'Reference Rates'!$B$31,'Reference Rates'!$B$32,'Reference Rates'!$B$33)</f>
        <v>30</v>
      </c>
      <c r="Z22" s="25">
        <f>MIN(MAX(L22,'Reference Rates'!$B$39),'Reference Rates'!$B$40)*'Reference Rates'!$B$38</f>
        <v>465.32421875</v>
      </c>
      <c r="AA22" s="25">
        <f>MIN(L22,'Reference Rates'!$B$46)*'Reference Rates'!$B$45</f>
        <v>200</v>
      </c>
      <c r="AB22" s="26">
        <f t="shared" si="7"/>
        <v>2545.32421875</v>
      </c>
      <c r="AC22" s="27">
        <f t="shared" si="8"/>
        <v>22458.29296875</v>
      </c>
    </row>
    <row r="23" spans="1:29" x14ac:dyDescent="0.35">
      <c r="A23" s="16" t="s">
        <v>123</v>
      </c>
      <c r="B23" s="17"/>
      <c r="C23" s="16" t="s">
        <v>116</v>
      </c>
      <c r="D23" s="16" t="s">
        <v>121</v>
      </c>
      <c r="E23" s="18" t="s">
        <v>101</v>
      </c>
      <c r="F23" s="19">
        <f>'Reference Rates'!$E$13</f>
        <v>86.875</v>
      </c>
      <c r="G23" s="20">
        <v>208</v>
      </c>
      <c r="H23" s="20">
        <v>0</v>
      </c>
      <c r="I23" s="20">
        <v>0</v>
      </c>
      <c r="J23" s="21">
        <f t="shared" si="0"/>
        <v>18070</v>
      </c>
      <c r="K23" s="21">
        <f t="shared" si="1"/>
        <v>0</v>
      </c>
      <c r="L23" s="22">
        <f t="shared" si="2"/>
        <v>18070</v>
      </c>
      <c r="M23" s="21">
        <f>'Reference Rates'!$B$19*G23/8</f>
        <v>1300</v>
      </c>
      <c r="N23" s="21">
        <f>I23*IFERROR(INDEX('Reference Rates'!$B$21:$B$22,MATCH(C23,'Reference Rates'!$A$21:$A$22,0)),0)</f>
        <v>0</v>
      </c>
      <c r="O23" s="23">
        <f>MIN('Reference Rates'!$B$30,MAX('Reference Rates'!$B$29,MROUND(L23,500)))</f>
        <v>18000</v>
      </c>
      <c r="P23" s="21">
        <f>O23*'Reference Rates'!$B$27</f>
        <v>900</v>
      </c>
      <c r="Q23" s="21">
        <f>MIN(MAX(L23,'Reference Rates'!$B$39),'Reference Rates'!$B$40)*'Reference Rates'!$B$37</f>
        <v>451.75</v>
      </c>
      <c r="R23" s="21">
        <f>MIN(L23,'Reference Rates'!$B$46)*IF(L23&gt;1500,'Reference Rates'!$B$43,'Reference Rates'!$B$44)</f>
        <v>200</v>
      </c>
      <c r="S23" s="22">
        <f t="shared" si="3"/>
        <v>1551.75</v>
      </c>
      <c r="T23" s="21">
        <f t="shared" si="4"/>
        <v>0</v>
      </c>
      <c r="U23" s="21">
        <f>IF(T23&lt;='Reference Rates'!$D$51,0,IF(T23&lt;='Reference Rates'!$D$52,'Reference Rates'!$B$51+(T23-'Reference Rates'!$D$51)*'Reference Rates'!$C$51,IF(T23&lt;='Reference Rates'!$D$53,'Reference Rates'!$B$52+(T23-'Reference Rates'!$D$52)*'Reference Rates'!$C$52,IF(T23&lt;='Reference Rates'!$D$54,'Reference Rates'!$B$53+(T23-'Reference Rates'!$D$53)*'Reference Rates'!$C$53,IF(T23&lt;='Reference Rates'!$D$55,'Reference Rates'!$B$54+(T23-'Reference Rates'!$D$54)*'Reference Rates'!$C$54,'Reference Rates'!$B$55+(T23-'Reference Rates'!$D$55)*'Reference Rates'!$C$55)))))</f>
        <v>0</v>
      </c>
      <c r="V23" s="22">
        <f t="shared" si="5"/>
        <v>1551.75</v>
      </c>
      <c r="W23" s="24">
        <f t="shared" si="6"/>
        <v>17818.25</v>
      </c>
      <c r="X23" s="25">
        <f>O23*'Reference Rates'!$B$28</f>
        <v>1800</v>
      </c>
      <c r="Y23" s="25">
        <f>IF(O23&lt;'Reference Rates'!$B$31,'Reference Rates'!$B$32,'Reference Rates'!$B$33)</f>
        <v>30</v>
      </c>
      <c r="Z23" s="25">
        <f>MIN(MAX(L23,'Reference Rates'!$B$39),'Reference Rates'!$B$40)*'Reference Rates'!$B$38</f>
        <v>451.75</v>
      </c>
      <c r="AA23" s="25">
        <f>MIN(L23,'Reference Rates'!$B$46)*'Reference Rates'!$B$45</f>
        <v>200</v>
      </c>
      <c r="AB23" s="26">
        <f t="shared" si="7"/>
        <v>2481.75</v>
      </c>
      <c r="AC23" s="27">
        <f t="shared" si="8"/>
        <v>21851.75</v>
      </c>
    </row>
    <row r="24" spans="1:29" x14ac:dyDescent="0.35">
      <c r="A24" s="16" t="s">
        <v>124</v>
      </c>
      <c r="B24" s="17"/>
      <c r="C24" s="16" t="s">
        <v>116</v>
      </c>
      <c r="D24" s="16" t="s">
        <v>125</v>
      </c>
      <c r="E24" s="18" t="s">
        <v>101</v>
      </c>
      <c r="F24" s="19">
        <f>'Reference Rates'!$E$13</f>
        <v>86.875</v>
      </c>
      <c r="G24" s="20">
        <v>208</v>
      </c>
      <c r="H24" s="20">
        <v>12</v>
      </c>
      <c r="I24" s="20">
        <v>0</v>
      </c>
      <c r="J24" s="21">
        <f t="shared" si="0"/>
        <v>18070</v>
      </c>
      <c r="K24" s="21">
        <f t="shared" si="1"/>
        <v>1303.125</v>
      </c>
      <c r="L24" s="22">
        <f t="shared" si="2"/>
        <v>19373.125</v>
      </c>
      <c r="M24" s="21">
        <f>'Reference Rates'!$B$19*G24/8</f>
        <v>1300</v>
      </c>
      <c r="N24" s="21">
        <f>I24*IFERROR(INDEX('Reference Rates'!$B$21:$B$22,MATCH(C24,'Reference Rates'!$A$21:$A$22,0)),0)</f>
        <v>0</v>
      </c>
      <c r="O24" s="23">
        <f>MIN('Reference Rates'!$B$30,MAX('Reference Rates'!$B$29,MROUND(L24,500)))</f>
        <v>19500</v>
      </c>
      <c r="P24" s="21">
        <f>O24*'Reference Rates'!$B$27</f>
        <v>975</v>
      </c>
      <c r="Q24" s="21">
        <f>MIN(MAX(L24,'Reference Rates'!$B$39),'Reference Rates'!$B$40)*'Reference Rates'!$B$37</f>
        <v>484.328125</v>
      </c>
      <c r="R24" s="21">
        <f>MIN(L24,'Reference Rates'!$B$46)*IF(L24&gt;1500,'Reference Rates'!$B$43,'Reference Rates'!$B$44)</f>
        <v>200</v>
      </c>
      <c r="S24" s="22">
        <f t="shared" si="3"/>
        <v>1659.328125</v>
      </c>
      <c r="T24" s="21">
        <f t="shared" si="4"/>
        <v>0</v>
      </c>
      <c r="U24" s="21">
        <f>IF(T24&lt;='Reference Rates'!$D$51,0,IF(T24&lt;='Reference Rates'!$D$52,'Reference Rates'!$B$51+(T24-'Reference Rates'!$D$51)*'Reference Rates'!$C$51,IF(T24&lt;='Reference Rates'!$D$53,'Reference Rates'!$B$52+(T24-'Reference Rates'!$D$52)*'Reference Rates'!$C$52,IF(T24&lt;='Reference Rates'!$D$54,'Reference Rates'!$B$53+(T24-'Reference Rates'!$D$53)*'Reference Rates'!$C$53,IF(T24&lt;='Reference Rates'!$D$55,'Reference Rates'!$B$54+(T24-'Reference Rates'!$D$54)*'Reference Rates'!$C$54,'Reference Rates'!$B$55+(T24-'Reference Rates'!$D$55)*'Reference Rates'!$C$55)))))</f>
        <v>0</v>
      </c>
      <c r="V24" s="22">
        <f t="shared" si="5"/>
        <v>1659.328125</v>
      </c>
      <c r="W24" s="24">
        <f t="shared" si="6"/>
        <v>19013.796875</v>
      </c>
      <c r="X24" s="25">
        <f>O24*'Reference Rates'!$B$28</f>
        <v>1950</v>
      </c>
      <c r="Y24" s="25">
        <f>IF(O24&lt;'Reference Rates'!$B$31,'Reference Rates'!$B$32,'Reference Rates'!$B$33)</f>
        <v>30</v>
      </c>
      <c r="Z24" s="25">
        <f>MIN(MAX(L24,'Reference Rates'!$B$39),'Reference Rates'!$B$40)*'Reference Rates'!$B$38</f>
        <v>484.328125</v>
      </c>
      <c r="AA24" s="25">
        <f>MIN(L24,'Reference Rates'!$B$46)*'Reference Rates'!$B$45</f>
        <v>200</v>
      </c>
      <c r="AB24" s="26">
        <f t="shared" si="7"/>
        <v>2664.328125</v>
      </c>
      <c r="AC24" s="27">
        <f t="shared" si="8"/>
        <v>23337.453125</v>
      </c>
    </row>
    <row r="25" spans="1:29" x14ac:dyDescent="0.35">
      <c r="A25" s="16" t="s">
        <v>126</v>
      </c>
      <c r="B25" s="17"/>
      <c r="C25" s="16" t="s">
        <v>116</v>
      </c>
      <c r="D25" s="16" t="s">
        <v>125</v>
      </c>
      <c r="E25" s="18" t="s">
        <v>101</v>
      </c>
      <c r="F25" s="19">
        <f>'Reference Rates'!$E$13</f>
        <v>86.875</v>
      </c>
      <c r="G25" s="20">
        <v>208</v>
      </c>
      <c r="H25" s="20">
        <v>0</v>
      </c>
      <c r="I25" s="20">
        <v>0</v>
      </c>
      <c r="J25" s="21">
        <f t="shared" si="0"/>
        <v>18070</v>
      </c>
      <c r="K25" s="21">
        <f t="shared" si="1"/>
        <v>0</v>
      </c>
      <c r="L25" s="22">
        <f t="shared" si="2"/>
        <v>18070</v>
      </c>
      <c r="M25" s="21">
        <f>'Reference Rates'!$B$19*G25/8</f>
        <v>1300</v>
      </c>
      <c r="N25" s="21">
        <f>I25*IFERROR(INDEX('Reference Rates'!$B$21:$B$22,MATCH(C25,'Reference Rates'!$A$21:$A$22,0)),0)</f>
        <v>0</v>
      </c>
      <c r="O25" s="23">
        <f>MIN('Reference Rates'!$B$30,MAX('Reference Rates'!$B$29,MROUND(L25,500)))</f>
        <v>18000</v>
      </c>
      <c r="P25" s="21">
        <f>O25*'Reference Rates'!$B$27</f>
        <v>900</v>
      </c>
      <c r="Q25" s="21">
        <f>MIN(MAX(L25,'Reference Rates'!$B$39),'Reference Rates'!$B$40)*'Reference Rates'!$B$37</f>
        <v>451.75</v>
      </c>
      <c r="R25" s="21">
        <f>MIN(L25,'Reference Rates'!$B$46)*IF(L25&gt;1500,'Reference Rates'!$B$43,'Reference Rates'!$B$44)</f>
        <v>200</v>
      </c>
      <c r="S25" s="22">
        <f t="shared" si="3"/>
        <v>1551.75</v>
      </c>
      <c r="T25" s="21">
        <f t="shared" si="4"/>
        <v>0</v>
      </c>
      <c r="U25" s="21">
        <f>IF(T25&lt;='Reference Rates'!$D$51,0,IF(T25&lt;='Reference Rates'!$D$52,'Reference Rates'!$B$51+(T25-'Reference Rates'!$D$51)*'Reference Rates'!$C$51,IF(T25&lt;='Reference Rates'!$D$53,'Reference Rates'!$B$52+(T25-'Reference Rates'!$D$52)*'Reference Rates'!$C$52,IF(T25&lt;='Reference Rates'!$D$54,'Reference Rates'!$B$53+(T25-'Reference Rates'!$D$53)*'Reference Rates'!$C$53,IF(T25&lt;='Reference Rates'!$D$55,'Reference Rates'!$B$54+(T25-'Reference Rates'!$D$54)*'Reference Rates'!$C$54,'Reference Rates'!$B$55+(T25-'Reference Rates'!$D$55)*'Reference Rates'!$C$55)))))</f>
        <v>0</v>
      </c>
      <c r="V25" s="22">
        <f t="shared" si="5"/>
        <v>1551.75</v>
      </c>
      <c r="W25" s="24">
        <f t="shared" si="6"/>
        <v>17818.25</v>
      </c>
      <c r="X25" s="25">
        <f>O25*'Reference Rates'!$B$28</f>
        <v>1800</v>
      </c>
      <c r="Y25" s="25">
        <f>IF(O25&lt;'Reference Rates'!$B$31,'Reference Rates'!$B$32,'Reference Rates'!$B$33)</f>
        <v>30</v>
      </c>
      <c r="Z25" s="25">
        <f>MIN(MAX(L25,'Reference Rates'!$B$39),'Reference Rates'!$B$40)*'Reference Rates'!$B$38</f>
        <v>451.75</v>
      </c>
      <c r="AA25" s="25">
        <f>MIN(L25,'Reference Rates'!$B$46)*'Reference Rates'!$B$45</f>
        <v>200</v>
      </c>
      <c r="AB25" s="26">
        <f t="shared" si="7"/>
        <v>2481.75</v>
      </c>
      <c r="AC25" s="27">
        <f t="shared" si="8"/>
        <v>21851.75</v>
      </c>
    </row>
    <row r="26" spans="1:29" x14ac:dyDescent="0.35">
      <c r="A26" s="28" t="s">
        <v>127</v>
      </c>
      <c r="B26" s="17" t="s">
        <v>173</v>
      </c>
      <c r="C26" s="28" t="s">
        <v>24</v>
      </c>
      <c r="D26" s="28" t="s">
        <v>128</v>
      </c>
      <c r="E26" s="29" t="s">
        <v>129</v>
      </c>
      <c r="F26" s="30">
        <v>100</v>
      </c>
      <c r="G26" s="29">
        <v>208</v>
      </c>
      <c r="H26" s="29">
        <v>12</v>
      </c>
      <c r="I26" s="29">
        <v>8</v>
      </c>
      <c r="J26" s="31">
        <f t="shared" si="0"/>
        <v>20800</v>
      </c>
      <c r="K26" s="31">
        <f t="shared" si="1"/>
        <v>1500</v>
      </c>
      <c r="L26" s="32">
        <f t="shared" si="2"/>
        <v>22300</v>
      </c>
      <c r="M26" s="31">
        <f>'Reference Rates'!$B$19*G26/8</f>
        <v>1300</v>
      </c>
      <c r="N26" s="31">
        <f>I26*IFERROR(INDEX('Reference Rates'!$B$21:$B$22,MATCH(C26,'Reference Rates'!$A$21:$A$22,0)),0)</f>
        <v>4000</v>
      </c>
      <c r="O26" s="33">
        <f>MIN('Reference Rates'!$B$30,MAX('Reference Rates'!$B$29,MROUND(L26,500)))</f>
        <v>22500</v>
      </c>
      <c r="P26" s="31">
        <f>O26*'Reference Rates'!$B$27</f>
        <v>1125</v>
      </c>
      <c r="Q26" s="31">
        <f>MIN(MAX(L26,'Reference Rates'!$B$39),'Reference Rates'!$B$40)*'Reference Rates'!$B$37</f>
        <v>557.5</v>
      </c>
      <c r="R26" s="31">
        <f>MIN(L26,'Reference Rates'!$B$46)*IF(L26&gt;1500,'Reference Rates'!$B$43,'Reference Rates'!$B$44)</f>
        <v>200</v>
      </c>
      <c r="S26" s="32">
        <f t="shared" si="3"/>
        <v>1882.5</v>
      </c>
      <c r="T26" s="31">
        <f t="shared" si="4"/>
        <v>20417.5</v>
      </c>
      <c r="U26" s="31">
        <f>IF(T26&lt;='Reference Rates'!$D$51,0,IF(T26&lt;='Reference Rates'!$D$52,'Reference Rates'!$B$51+(T26-'Reference Rates'!$D$51)*'Reference Rates'!$C$51,IF(T26&lt;='Reference Rates'!$D$53,'Reference Rates'!$B$52+(T26-'Reference Rates'!$D$52)*'Reference Rates'!$C$52,IF(T26&lt;='Reference Rates'!$D$54,'Reference Rates'!$B$53+(T26-'Reference Rates'!$D$53)*'Reference Rates'!$C$53,IF(T26&lt;='Reference Rates'!$D$55,'Reference Rates'!$B$54+(T26-'Reference Rates'!$D$54)*'Reference Rates'!$C$54,'Reference Rates'!$B$55+(T26-'Reference Rates'!$D$55)*'Reference Rates'!$C$55)))))</f>
        <v>0</v>
      </c>
      <c r="V26" s="32">
        <f t="shared" si="5"/>
        <v>1882.5</v>
      </c>
      <c r="W26" s="34">
        <f t="shared" si="6"/>
        <v>25717.5</v>
      </c>
      <c r="X26" s="25">
        <f>O26*'Reference Rates'!$B$28</f>
        <v>2250</v>
      </c>
      <c r="Y26" s="25">
        <f>IF(O26&lt;'Reference Rates'!$B$31,'Reference Rates'!$B$32,'Reference Rates'!$B$33)</f>
        <v>30</v>
      </c>
      <c r="Z26" s="25">
        <f>MIN(MAX(L26,'Reference Rates'!$B$39),'Reference Rates'!$B$40)*'Reference Rates'!$B$38</f>
        <v>557.5</v>
      </c>
      <c r="AA26" s="25">
        <f>MIN(L26,'Reference Rates'!$B$46)*'Reference Rates'!$B$45</f>
        <v>200</v>
      </c>
      <c r="AB26" s="26">
        <f t="shared" si="7"/>
        <v>3037.5</v>
      </c>
      <c r="AC26" s="27">
        <f t="shared" si="8"/>
        <v>30637.5</v>
      </c>
    </row>
    <row r="27" spans="1:29" x14ac:dyDescent="0.35">
      <c r="A27" s="28" t="s">
        <v>130</v>
      </c>
      <c r="B27" s="17"/>
      <c r="C27" s="28" t="s">
        <v>24</v>
      </c>
      <c r="D27" s="28" t="s">
        <v>128</v>
      </c>
      <c r="E27" s="29" t="s">
        <v>129</v>
      </c>
      <c r="F27" s="30">
        <v>105</v>
      </c>
      <c r="G27" s="29">
        <v>208</v>
      </c>
      <c r="H27" s="29">
        <v>9</v>
      </c>
      <c r="I27" s="29">
        <v>7</v>
      </c>
      <c r="J27" s="31">
        <f t="shared" si="0"/>
        <v>21840</v>
      </c>
      <c r="K27" s="31">
        <f t="shared" si="1"/>
        <v>1181.25</v>
      </c>
      <c r="L27" s="32">
        <f t="shared" si="2"/>
        <v>23021.25</v>
      </c>
      <c r="M27" s="31">
        <f>'Reference Rates'!$B$19*G27/8</f>
        <v>1300</v>
      </c>
      <c r="N27" s="31">
        <f>I27*IFERROR(INDEX('Reference Rates'!$B$21:$B$22,MATCH(C27,'Reference Rates'!$A$21:$A$22,0)),0)</f>
        <v>3500</v>
      </c>
      <c r="O27" s="33">
        <f>MIN('Reference Rates'!$B$30,MAX('Reference Rates'!$B$29,MROUND(L27,500)))</f>
        <v>23000</v>
      </c>
      <c r="P27" s="31">
        <f>O27*'Reference Rates'!$B$27</f>
        <v>1150</v>
      </c>
      <c r="Q27" s="31">
        <f>MIN(MAX(L27,'Reference Rates'!$B$39),'Reference Rates'!$B$40)*'Reference Rates'!$B$37</f>
        <v>575.53125</v>
      </c>
      <c r="R27" s="31">
        <f>MIN(L27,'Reference Rates'!$B$46)*IF(L27&gt;1500,'Reference Rates'!$B$43,'Reference Rates'!$B$44)</f>
        <v>200</v>
      </c>
      <c r="S27" s="32">
        <f t="shared" si="3"/>
        <v>1925.53125</v>
      </c>
      <c r="T27" s="31">
        <f t="shared" si="4"/>
        <v>21095.71875</v>
      </c>
      <c r="U27" s="31">
        <f>IF(T27&lt;='Reference Rates'!$D$51,0,IF(T27&lt;='Reference Rates'!$D$52,'Reference Rates'!$B$51+(T27-'Reference Rates'!$D$51)*'Reference Rates'!$C$51,IF(T27&lt;='Reference Rates'!$D$53,'Reference Rates'!$B$52+(T27-'Reference Rates'!$D$52)*'Reference Rates'!$C$52,IF(T27&lt;='Reference Rates'!$D$54,'Reference Rates'!$B$53+(T27-'Reference Rates'!$D$53)*'Reference Rates'!$C$53,IF(T27&lt;='Reference Rates'!$D$55,'Reference Rates'!$B$54+(T27-'Reference Rates'!$D$54)*'Reference Rates'!$C$54,'Reference Rates'!$B$55+(T27-'Reference Rates'!$D$55)*'Reference Rates'!$C$55)))))</f>
        <v>39.407812499999999</v>
      </c>
      <c r="V27" s="32">
        <f t="shared" si="5"/>
        <v>1964.9390625000001</v>
      </c>
      <c r="W27" s="34">
        <f t="shared" si="6"/>
        <v>25856.310937499999</v>
      </c>
      <c r="X27" s="25">
        <f>O27*'Reference Rates'!$B$28</f>
        <v>2300</v>
      </c>
      <c r="Y27" s="25">
        <f>IF(O27&lt;'Reference Rates'!$B$31,'Reference Rates'!$B$32,'Reference Rates'!$B$33)</f>
        <v>30</v>
      </c>
      <c r="Z27" s="25">
        <f>MIN(MAX(L27,'Reference Rates'!$B$39),'Reference Rates'!$B$40)*'Reference Rates'!$B$38</f>
        <v>575.53125</v>
      </c>
      <c r="AA27" s="25">
        <f>MIN(L27,'Reference Rates'!$B$46)*'Reference Rates'!$B$45</f>
        <v>200</v>
      </c>
      <c r="AB27" s="26">
        <f t="shared" si="7"/>
        <v>3105.53125</v>
      </c>
      <c r="AC27" s="27">
        <f t="shared" si="8"/>
        <v>30926.78125</v>
      </c>
    </row>
    <row r="28" spans="1:29" x14ac:dyDescent="0.35">
      <c r="A28" s="28" t="s">
        <v>131</v>
      </c>
      <c r="B28" s="17"/>
      <c r="C28" s="28" t="s">
        <v>24</v>
      </c>
      <c r="D28" s="28" t="s">
        <v>128</v>
      </c>
      <c r="E28" s="29" t="s">
        <v>129</v>
      </c>
      <c r="F28" s="30">
        <v>100</v>
      </c>
      <c r="G28" s="29">
        <v>208</v>
      </c>
      <c r="H28" s="29">
        <v>16</v>
      </c>
      <c r="I28" s="29">
        <v>9</v>
      </c>
      <c r="J28" s="31">
        <f t="shared" si="0"/>
        <v>20800</v>
      </c>
      <c r="K28" s="31">
        <f t="shared" si="1"/>
        <v>2000</v>
      </c>
      <c r="L28" s="32">
        <f t="shared" si="2"/>
        <v>22800</v>
      </c>
      <c r="M28" s="31">
        <f>'Reference Rates'!$B$19*G28/8</f>
        <v>1300</v>
      </c>
      <c r="N28" s="31">
        <f>I28*IFERROR(INDEX('Reference Rates'!$B$21:$B$22,MATCH(C28,'Reference Rates'!$A$21:$A$22,0)),0)</f>
        <v>4500</v>
      </c>
      <c r="O28" s="33">
        <f>MIN('Reference Rates'!$B$30,MAX('Reference Rates'!$B$29,MROUND(L28,500)))</f>
        <v>23000</v>
      </c>
      <c r="P28" s="31">
        <f>O28*'Reference Rates'!$B$27</f>
        <v>1150</v>
      </c>
      <c r="Q28" s="31">
        <f>MIN(MAX(L28,'Reference Rates'!$B$39),'Reference Rates'!$B$40)*'Reference Rates'!$B$37</f>
        <v>570</v>
      </c>
      <c r="R28" s="31">
        <f>MIN(L28,'Reference Rates'!$B$46)*IF(L28&gt;1500,'Reference Rates'!$B$43,'Reference Rates'!$B$44)</f>
        <v>200</v>
      </c>
      <c r="S28" s="32">
        <f t="shared" si="3"/>
        <v>1920</v>
      </c>
      <c r="T28" s="31">
        <f t="shared" si="4"/>
        <v>20880</v>
      </c>
      <c r="U28" s="31">
        <f>IF(T28&lt;='Reference Rates'!$D$51,0,IF(T28&lt;='Reference Rates'!$D$52,'Reference Rates'!$B$51+(T28-'Reference Rates'!$D$51)*'Reference Rates'!$C$51,IF(T28&lt;='Reference Rates'!$D$53,'Reference Rates'!$B$52+(T28-'Reference Rates'!$D$52)*'Reference Rates'!$C$52,IF(T28&lt;='Reference Rates'!$D$54,'Reference Rates'!$B$53+(T28-'Reference Rates'!$D$53)*'Reference Rates'!$C$53,IF(T28&lt;='Reference Rates'!$D$55,'Reference Rates'!$B$54+(T28-'Reference Rates'!$D$54)*'Reference Rates'!$C$54,'Reference Rates'!$B$55+(T28-'Reference Rates'!$D$55)*'Reference Rates'!$C$55)))))</f>
        <v>7.05</v>
      </c>
      <c r="V28" s="32">
        <f t="shared" si="5"/>
        <v>1927.05</v>
      </c>
      <c r="W28" s="34">
        <f t="shared" si="6"/>
        <v>26672.95</v>
      </c>
      <c r="X28" s="25">
        <f>O28*'Reference Rates'!$B$28</f>
        <v>2300</v>
      </c>
      <c r="Y28" s="25">
        <f>IF(O28&lt;'Reference Rates'!$B$31,'Reference Rates'!$B$32,'Reference Rates'!$B$33)</f>
        <v>30</v>
      </c>
      <c r="Z28" s="25">
        <f>MIN(MAX(L28,'Reference Rates'!$B$39),'Reference Rates'!$B$40)*'Reference Rates'!$B$38</f>
        <v>570</v>
      </c>
      <c r="AA28" s="25">
        <f>MIN(L28,'Reference Rates'!$B$46)*'Reference Rates'!$B$45</f>
        <v>200</v>
      </c>
      <c r="AB28" s="26">
        <f t="shared" si="7"/>
        <v>3100</v>
      </c>
      <c r="AC28" s="27">
        <f t="shared" si="8"/>
        <v>31700</v>
      </c>
    </row>
    <row r="29" spans="1:29" x14ac:dyDescent="0.35">
      <c r="A29" s="28" t="s">
        <v>132</v>
      </c>
      <c r="B29" s="17" t="s">
        <v>174</v>
      </c>
      <c r="C29" s="28" t="s">
        <v>25</v>
      </c>
      <c r="D29" s="28" t="s">
        <v>133</v>
      </c>
      <c r="E29" s="29" t="s">
        <v>129</v>
      </c>
      <c r="F29" s="30">
        <v>110</v>
      </c>
      <c r="G29" s="29">
        <v>208</v>
      </c>
      <c r="H29" s="29">
        <v>23</v>
      </c>
      <c r="I29" s="29">
        <v>10</v>
      </c>
      <c r="J29" s="31">
        <f t="shared" si="0"/>
        <v>22880</v>
      </c>
      <c r="K29" s="31">
        <f t="shared" si="1"/>
        <v>3162.5</v>
      </c>
      <c r="L29" s="32">
        <f t="shared" si="2"/>
        <v>26042.5</v>
      </c>
      <c r="M29" s="31">
        <f>'Reference Rates'!$B$19*G29/8</f>
        <v>1300</v>
      </c>
      <c r="N29" s="31">
        <f>I29*IFERROR(INDEX('Reference Rates'!$B$21:$B$22,MATCH(C29,'Reference Rates'!$A$21:$A$22,0)),0)</f>
        <v>9000</v>
      </c>
      <c r="O29" s="33">
        <f>MIN('Reference Rates'!$B$30,MAX('Reference Rates'!$B$29,MROUND(L29,500)))</f>
        <v>26000</v>
      </c>
      <c r="P29" s="31">
        <f>O29*'Reference Rates'!$B$27</f>
        <v>1300</v>
      </c>
      <c r="Q29" s="31">
        <f>MIN(MAX(L29,'Reference Rates'!$B$39),'Reference Rates'!$B$40)*'Reference Rates'!$B$37</f>
        <v>651.0625</v>
      </c>
      <c r="R29" s="31">
        <f>MIN(L29,'Reference Rates'!$B$46)*IF(L29&gt;1500,'Reference Rates'!$B$43,'Reference Rates'!$B$44)</f>
        <v>200</v>
      </c>
      <c r="S29" s="32">
        <f t="shared" si="3"/>
        <v>2151.0625</v>
      </c>
      <c r="T29" s="31">
        <f t="shared" si="4"/>
        <v>23891.4375</v>
      </c>
      <c r="U29" s="31">
        <f>IF(T29&lt;='Reference Rates'!$D$51,0,IF(T29&lt;='Reference Rates'!$D$52,'Reference Rates'!$B$51+(T29-'Reference Rates'!$D$51)*'Reference Rates'!$C$51,IF(T29&lt;='Reference Rates'!$D$53,'Reference Rates'!$B$52+(T29-'Reference Rates'!$D$52)*'Reference Rates'!$C$52,IF(T29&lt;='Reference Rates'!$D$54,'Reference Rates'!$B$53+(T29-'Reference Rates'!$D$53)*'Reference Rates'!$C$53,IF(T29&lt;='Reference Rates'!$D$55,'Reference Rates'!$B$54+(T29-'Reference Rates'!$D$54)*'Reference Rates'!$C$54,'Reference Rates'!$B$55+(T29-'Reference Rates'!$D$55)*'Reference Rates'!$C$55)))))</f>
        <v>458.765625</v>
      </c>
      <c r="V29" s="32">
        <f t="shared" si="5"/>
        <v>2609.828125</v>
      </c>
      <c r="W29" s="34">
        <f t="shared" si="6"/>
        <v>33732.671875</v>
      </c>
      <c r="X29" s="25">
        <f>O29*'Reference Rates'!$B$28</f>
        <v>2600</v>
      </c>
      <c r="Y29" s="25">
        <f>IF(O29&lt;'Reference Rates'!$B$31,'Reference Rates'!$B$32,'Reference Rates'!$B$33)</f>
        <v>30</v>
      </c>
      <c r="Z29" s="25">
        <f>MIN(MAX(L29,'Reference Rates'!$B$39),'Reference Rates'!$B$40)*'Reference Rates'!$B$38</f>
        <v>651.0625</v>
      </c>
      <c r="AA29" s="25">
        <f>MIN(L29,'Reference Rates'!$B$46)*'Reference Rates'!$B$45</f>
        <v>200</v>
      </c>
      <c r="AB29" s="26">
        <f t="shared" si="7"/>
        <v>3481.0625</v>
      </c>
      <c r="AC29" s="27">
        <f t="shared" si="8"/>
        <v>39823.5625</v>
      </c>
    </row>
    <row r="30" spans="1:29" x14ac:dyDescent="0.35">
      <c r="A30" s="28" t="s">
        <v>134</v>
      </c>
      <c r="B30" s="17"/>
      <c r="C30" s="28" t="s">
        <v>25</v>
      </c>
      <c r="D30" s="28" t="s">
        <v>133</v>
      </c>
      <c r="E30" s="29" t="s">
        <v>129</v>
      </c>
      <c r="F30" s="30">
        <v>115</v>
      </c>
      <c r="G30" s="29">
        <v>208</v>
      </c>
      <c r="H30" s="29">
        <v>16</v>
      </c>
      <c r="I30" s="29">
        <v>10</v>
      </c>
      <c r="J30" s="31">
        <f t="shared" si="0"/>
        <v>23920</v>
      </c>
      <c r="K30" s="31">
        <f t="shared" si="1"/>
        <v>2300</v>
      </c>
      <c r="L30" s="32">
        <f t="shared" si="2"/>
        <v>26220</v>
      </c>
      <c r="M30" s="31">
        <f>'Reference Rates'!$B$19*G30/8</f>
        <v>1300</v>
      </c>
      <c r="N30" s="31">
        <f>I30*IFERROR(INDEX('Reference Rates'!$B$21:$B$22,MATCH(C30,'Reference Rates'!$A$21:$A$22,0)),0)</f>
        <v>9000</v>
      </c>
      <c r="O30" s="33">
        <f>MIN('Reference Rates'!$B$30,MAX('Reference Rates'!$B$29,MROUND(L30,500)))</f>
        <v>26000</v>
      </c>
      <c r="P30" s="31">
        <f>O30*'Reference Rates'!$B$27</f>
        <v>1300</v>
      </c>
      <c r="Q30" s="31">
        <f>MIN(MAX(L30,'Reference Rates'!$B$39),'Reference Rates'!$B$40)*'Reference Rates'!$B$37</f>
        <v>655.5</v>
      </c>
      <c r="R30" s="31">
        <f>MIN(L30,'Reference Rates'!$B$46)*IF(L30&gt;1500,'Reference Rates'!$B$43,'Reference Rates'!$B$44)</f>
        <v>200</v>
      </c>
      <c r="S30" s="32">
        <f t="shared" si="3"/>
        <v>2155.5</v>
      </c>
      <c r="T30" s="31">
        <f t="shared" si="4"/>
        <v>24064.5</v>
      </c>
      <c r="U30" s="31">
        <f>IF(T30&lt;='Reference Rates'!$D$51,0,IF(T30&lt;='Reference Rates'!$D$52,'Reference Rates'!$B$51+(T30-'Reference Rates'!$D$51)*'Reference Rates'!$C$51,IF(T30&lt;='Reference Rates'!$D$53,'Reference Rates'!$B$52+(T30-'Reference Rates'!$D$52)*'Reference Rates'!$C$52,IF(T30&lt;='Reference Rates'!$D$54,'Reference Rates'!$B$53+(T30-'Reference Rates'!$D$53)*'Reference Rates'!$C$53,IF(T30&lt;='Reference Rates'!$D$55,'Reference Rates'!$B$54+(T30-'Reference Rates'!$D$54)*'Reference Rates'!$C$54,'Reference Rates'!$B$55+(T30-'Reference Rates'!$D$55)*'Reference Rates'!$C$55)))))</f>
        <v>484.72499999999997</v>
      </c>
      <c r="V30" s="32">
        <f t="shared" si="5"/>
        <v>2640.2249999999999</v>
      </c>
      <c r="W30" s="34">
        <f t="shared" si="6"/>
        <v>33879.775000000001</v>
      </c>
      <c r="X30" s="25">
        <f>O30*'Reference Rates'!$B$28</f>
        <v>2600</v>
      </c>
      <c r="Y30" s="25">
        <f>IF(O30&lt;'Reference Rates'!$B$31,'Reference Rates'!$B$32,'Reference Rates'!$B$33)</f>
        <v>30</v>
      </c>
      <c r="Z30" s="25">
        <f>MIN(MAX(L30,'Reference Rates'!$B$39),'Reference Rates'!$B$40)*'Reference Rates'!$B$38</f>
        <v>655.5</v>
      </c>
      <c r="AA30" s="25">
        <f>MIN(L30,'Reference Rates'!$B$46)*'Reference Rates'!$B$45</f>
        <v>200</v>
      </c>
      <c r="AB30" s="26">
        <f t="shared" si="7"/>
        <v>3485.5</v>
      </c>
      <c r="AC30" s="27">
        <f t="shared" si="8"/>
        <v>40005.5</v>
      </c>
    </row>
    <row r="31" spans="1:29" x14ac:dyDescent="0.35">
      <c r="A31" s="28" t="s">
        <v>135</v>
      </c>
      <c r="B31" s="17"/>
      <c r="C31" s="28" t="s">
        <v>25</v>
      </c>
      <c r="D31" s="28" t="s">
        <v>133</v>
      </c>
      <c r="E31" s="29" t="s">
        <v>129</v>
      </c>
      <c r="F31" s="30">
        <v>110</v>
      </c>
      <c r="G31" s="29">
        <v>208</v>
      </c>
      <c r="H31" s="29">
        <v>16</v>
      </c>
      <c r="I31" s="29">
        <v>8</v>
      </c>
      <c r="J31" s="31">
        <f t="shared" si="0"/>
        <v>22880</v>
      </c>
      <c r="K31" s="31">
        <f t="shared" si="1"/>
        <v>2200</v>
      </c>
      <c r="L31" s="32">
        <f t="shared" si="2"/>
        <v>25080</v>
      </c>
      <c r="M31" s="31">
        <f>'Reference Rates'!$B$19*G31/8</f>
        <v>1300</v>
      </c>
      <c r="N31" s="31">
        <f>I31*IFERROR(INDEX('Reference Rates'!$B$21:$B$22,MATCH(C31,'Reference Rates'!$A$21:$A$22,0)),0)</f>
        <v>7200</v>
      </c>
      <c r="O31" s="33">
        <f>MIN('Reference Rates'!$B$30,MAX('Reference Rates'!$B$29,MROUND(L31,500)))</f>
        <v>25000</v>
      </c>
      <c r="P31" s="31">
        <f>O31*'Reference Rates'!$B$27</f>
        <v>1250</v>
      </c>
      <c r="Q31" s="31">
        <f>MIN(MAX(L31,'Reference Rates'!$B$39),'Reference Rates'!$B$40)*'Reference Rates'!$B$37</f>
        <v>627</v>
      </c>
      <c r="R31" s="31">
        <f>MIN(L31,'Reference Rates'!$B$46)*IF(L31&gt;1500,'Reference Rates'!$B$43,'Reference Rates'!$B$44)</f>
        <v>200</v>
      </c>
      <c r="S31" s="32">
        <f t="shared" si="3"/>
        <v>2077</v>
      </c>
      <c r="T31" s="31">
        <f t="shared" si="4"/>
        <v>23003</v>
      </c>
      <c r="U31" s="31">
        <f>IF(T31&lt;='Reference Rates'!$D$51,0,IF(T31&lt;='Reference Rates'!$D$52,'Reference Rates'!$B$51+(T31-'Reference Rates'!$D$51)*'Reference Rates'!$C$51,IF(T31&lt;='Reference Rates'!$D$53,'Reference Rates'!$B$52+(T31-'Reference Rates'!$D$52)*'Reference Rates'!$C$52,IF(T31&lt;='Reference Rates'!$D$54,'Reference Rates'!$B$53+(T31-'Reference Rates'!$D$53)*'Reference Rates'!$C$53,IF(T31&lt;='Reference Rates'!$D$55,'Reference Rates'!$B$54+(T31-'Reference Rates'!$D$54)*'Reference Rates'!$C$54,'Reference Rates'!$B$55+(T31-'Reference Rates'!$D$55)*'Reference Rates'!$C$55)))))</f>
        <v>325.5</v>
      </c>
      <c r="V31" s="32">
        <f t="shared" si="5"/>
        <v>2402.5</v>
      </c>
      <c r="W31" s="34">
        <f t="shared" si="6"/>
        <v>31177.5</v>
      </c>
      <c r="X31" s="25">
        <f>O31*'Reference Rates'!$B$28</f>
        <v>2500</v>
      </c>
      <c r="Y31" s="25">
        <f>IF(O31&lt;'Reference Rates'!$B$31,'Reference Rates'!$B$32,'Reference Rates'!$B$33)</f>
        <v>30</v>
      </c>
      <c r="Z31" s="25">
        <f>MIN(MAX(L31,'Reference Rates'!$B$39),'Reference Rates'!$B$40)*'Reference Rates'!$B$38</f>
        <v>627</v>
      </c>
      <c r="AA31" s="25">
        <f>MIN(L31,'Reference Rates'!$B$46)*'Reference Rates'!$B$45</f>
        <v>200</v>
      </c>
      <c r="AB31" s="26">
        <f t="shared" si="7"/>
        <v>3357</v>
      </c>
      <c r="AC31" s="27">
        <f t="shared" si="8"/>
        <v>36937</v>
      </c>
    </row>
    <row r="32" spans="1:29" x14ac:dyDescent="0.35">
      <c r="A32" s="16" t="s">
        <v>136</v>
      </c>
      <c r="B32" s="17"/>
      <c r="C32" s="16" t="s">
        <v>137</v>
      </c>
      <c r="D32" s="16" t="s">
        <v>138</v>
      </c>
      <c r="E32" s="18" t="s">
        <v>129</v>
      </c>
      <c r="F32" s="35">
        <v>120</v>
      </c>
      <c r="G32" s="20">
        <v>208</v>
      </c>
      <c r="H32" s="20">
        <v>3</v>
      </c>
      <c r="I32" s="20">
        <v>0</v>
      </c>
      <c r="J32" s="21">
        <f t="shared" si="0"/>
        <v>24960</v>
      </c>
      <c r="K32" s="21">
        <f t="shared" si="1"/>
        <v>450</v>
      </c>
      <c r="L32" s="22">
        <f t="shared" si="2"/>
        <v>25410</v>
      </c>
      <c r="M32" s="21">
        <f>'Reference Rates'!$B$19*G32/8</f>
        <v>1300</v>
      </c>
      <c r="N32" s="21">
        <f>I32*IFERROR(INDEX('Reference Rates'!$B$21:$B$22,MATCH(C32,'Reference Rates'!$A$21:$A$22,0)),0)</f>
        <v>0</v>
      </c>
      <c r="O32" s="23">
        <f>MIN('Reference Rates'!$B$30,MAX('Reference Rates'!$B$29,MROUND(L32,500)))</f>
        <v>25500</v>
      </c>
      <c r="P32" s="21">
        <f>O32*'Reference Rates'!$B$27</f>
        <v>1275</v>
      </c>
      <c r="Q32" s="21">
        <f>MIN(MAX(L32,'Reference Rates'!$B$39),'Reference Rates'!$B$40)*'Reference Rates'!$B$37</f>
        <v>635.25</v>
      </c>
      <c r="R32" s="21">
        <f>MIN(L32,'Reference Rates'!$B$46)*IF(L32&gt;1500,'Reference Rates'!$B$43,'Reference Rates'!$B$44)</f>
        <v>200</v>
      </c>
      <c r="S32" s="22">
        <f t="shared" si="3"/>
        <v>2110.25</v>
      </c>
      <c r="T32" s="21">
        <f t="shared" si="4"/>
        <v>23299.75</v>
      </c>
      <c r="U32" s="21">
        <f>IF(T32&lt;='Reference Rates'!$D$51,0,IF(T32&lt;='Reference Rates'!$D$52,'Reference Rates'!$B$51+(T32-'Reference Rates'!$D$51)*'Reference Rates'!$C$51,IF(T32&lt;='Reference Rates'!$D$53,'Reference Rates'!$B$52+(T32-'Reference Rates'!$D$52)*'Reference Rates'!$C$52,IF(T32&lt;='Reference Rates'!$D$54,'Reference Rates'!$B$53+(T32-'Reference Rates'!$D$53)*'Reference Rates'!$C$53,IF(T32&lt;='Reference Rates'!$D$55,'Reference Rates'!$B$54+(T32-'Reference Rates'!$D$54)*'Reference Rates'!$C$54,'Reference Rates'!$B$55+(T32-'Reference Rates'!$D$55)*'Reference Rates'!$C$55)))))</f>
        <v>370.01249999999999</v>
      </c>
      <c r="V32" s="22">
        <f t="shared" si="5"/>
        <v>2480.2624999999998</v>
      </c>
      <c r="W32" s="24">
        <f t="shared" si="6"/>
        <v>24229.737499999999</v>
      </c>
      <c r="X32" s="25">
        <f>O32*'Reference Rates'!$B$28</f>
        <v>2550</v>
      </c>
      <c r="Y32" s="25">
        <f>IF(O32&lt;'Reference Rates'!$B$31,'Reference Rates'!$B$32,'Reference Rates'!$B$33)</f>
        <v>30</v>
      </c>
      <c r="Z32" s="25">
        <f>MIN(MAX(L32,'Reference Rates'!$B$39),'Reference Rates'!$B$40)*'Reference Rates'!$B$38</f>
        <v>635.25</v>
      </c>
      <c r="AA32" s="25">
        <f>MIN(L32,'Reference Rates'!$B$46)*'Reference Rates'!$B$45</f>
        <v>200</v>
      </c>
      <c r="AB32" s="26">
        <f t="shared" si="7"/>
        <v>3415.25</v>
      </c>
      <c r="AC32" s="27">
        <f t="shared" si="8"/>
        <v>30125.25</v>
      </c>
    </row>
    <row r="33" spans="1:29" x14ac:dyDescent="0.35">
      <c r="A33" s="16" t="s">
        <v>139</v>
      </c>
      <c r="B33" s="17"/>
      <c r="C33" s="16" t="s">
        <v>137</v>
      </c>
      <c r="D33" s="16" t="s">
        <v>140</v>
      </c>
      <c r="E33" s="18" t="s">
        <v>129</v>
      </c>
      <c r="F33" s="35">
        <v>130</v>
      </c>
      <c r="G33" s="20">
        <v>208</v>
      </c>
      <c r="H33" s="20">
        <v>0</v>
      </c>
      <c r="I33" s="20">
        <v>0</v>
      </c>
      <c r="J33" s="21">
        <f t="shared" si="0"/>
        <v>27040</v>
      </c>
      <c r="K33" s="21">
        <f t="shared" si="1"/>
        <v>0</v>
      </c>
      <c r="L33" s="22">
        <f t="shared" si="2"/>
        <v>27040</v>
      </c>
      <c r="M33" s="21">
        <f>'Reference Rates'!$B$19*G33/8</f>
        <v>1300</v>
      </c>
      <c r="N33" s="21">
        <f>I33*IFERROR(INDEX('Reference Rates'!$B$21:$B$22,MATCH(C33,'Reference Rates'!$A$21:$A$22,0)),0)</f>
        <v>0</v>
      </c>
      <c r="O33" s="23">
        <f>MIN('Reference Rates'!$B$30,MAX('Reference Rates'!$B$29,MROUND(L33,500)))</f>
        <v>27000</v>
      </c>
      <c r="P33" s="21">
        <f>O33*'Reference Rates'!$B$27</f>
        <v>1350</v>
      </c>
      <c r="Q33" s="21">
        <f>MIN(MAX(L33,'Reference Rates'!$B$39),'Reference Rates'!$B$40)*'Reference Rates'!$B$37</f>
        <v>676</v>
      </c>
      <c r="R33" s="21">
        <f>MIN(L33,'Reference Rates'!$B$46)*IF(L33&gt;1500,'Reference Rates'!$B$43,'Reference Rates'!$B$44)</f>
        <v>200</v>
      </c>
      <c r="S33" s="22">
        <f t="shared" si="3"/>
        <v>2226</v>
      </c>
      <c r="T33" s="21">
        <f t="shared" si="4"/>
        <v>24814</v>
      </c>
      <c r="U33" s="21">
        <f>IF(T33&lt;='Reference Rates'!$D$51,0,IF(T33&lt;='Reference Rates'!$D$52,'Reference Rates'!$B$51+(T33-'Reference Rates'!$D$51)*'Reference Rates'!$C$51,IF(T33&lt;='Reference Rates'!$D$53,'Reference Rates'!$B$52+(T33-'Reference Rates'!$D$52)*'Reference Rates'!$C$52,IF(T33&lt;='Reference Rates'!$D$54,'Reference Rates'!$B$53+(T33-'Reference Rates'!$D$53)*'Reference Rates'!$C$53,IF(T33&lt;='Reference Rates'!$D$55,'Reference Rates'!$B$54+(T33-'Reference Rates'!$D$54)*'Reference Rates'!$C$54,'Reference Rates'!$B$55+(T33-'Reference Rates'!$D$55)*'Reference Rates'!$C$55)))))</f>
        <v>597.15</v>
      </c>
      <c r="V33" s="22">
        <f t="shared" si="5"/>
        <v>2823.15</v>
      </c>
      <c r="W33" s="24">
        <f t="shared" si="6"/>
        <v>25516.85</v>
      </c>
      <c r="X33" s="25">
        <f>O33*'Reference Rates'!$B$28</f>
        <v>2700</v>
      </c>
      <c r="Y33" s="25">
        <f>IF(O33&lt;'Reference Rates'!$B$31,'Reference Rates'!$B$32,'Reference Rates'!$B$33)</f>
        <v>30</v>
      </c>
      <c r="Z33" s="25">
        <f>MIN(MAX(L33,'Reference Rates'!$B$39),'Reference Rates'!$B$40)*'Reference Rates'!$B$38</f>
        <v>676</v>
      </c>
      <c r="AA33" s="25">
        <f>MIN(L33,'Reference Rates'!$B$46)*'Reference Rates'!$B$45</f>
        <v>200</v>
      </c>
      <c r="AB33" s="26">
        <f t="shared" si="7"/>
        <v>3606</v>
      </c>
      <c r="AC33" s="27">
        <f t="shared" si="8"/>
        <v>31946</v>
      </c>
    </row>
    <row r="34" spans="1:29" x14ac:dyDescent="0.35">
      <c r="A34" s="16" t="s">
        <v>141</v>
      </c>
      <c r="B34" s="17"/>
      <c r="C34" s="16" t="s">
        <v>137</v>
      </c>
      <c r="D34" s="16" t="s">
        <v>142</v>
      </c>
      <c r="E34" s="18" t="s">
        <v>129</v>
      </c>
      <c r="F34" s="35">
        <v>140</v>
      </c>
      <c r="G34" s="20">
        <v>208</v>
      </c>
      <c r="H34" s="20">
        <v>0</v>
      </c>
      <c r="I34" s="20">
        <v>0</v>
      </c>
      <c r="J34" s="21">
        <f t="shared" si="0"/>
        <v>29120</v>
      </c>
      <c r="K34" s="21">
        <f t="shared" si="1"/>
        <v>0</v>
      </c>
      <c r="L34" s="22">
        <f t="shared" si="2"/>
        <v>29120</v>
      </c>
      <c r="M34" s="21">
        <f>'Reference Rates'!$B$19*G34/8</f>
        <v>1300</v>
      </c>
      <c r="N34" s="21">
        <f>I34*IFERROR(INDEX('Reference Rates'!$B$21:$B$22,MATCH(C34,'Reference Rates'!$A$21:$A$22,0)),0)</f>
        <v>0</v>
      </c>
      <c r="O34" s="23">
        <f>MIN('Reference Rates'!$B$30,MAX('Reference Rates'!$B$29,MROUND(L34,500)))</f>
        <v>29000</v>
      </c>
      <c r="P34" s="21">
        <f>O34*'Reference Rates'!$B$27</f>
        <v>1450</v>
      </c>
      <c r="Q34" s="21">
        <f>MIN(MAX(L34,'Reference Rates'!$B$39),'Reference Rates'!$B$40)*'Reference Rates'!$B$37</f>
        <v>728</v>
      </c>
      <c r="R34" s="21">
        <f>MIN(L34,'Reference Rates'!$B$46)*IF(L34&gt;1500,'Reference Rates'!$B$43,'Reference Rates'!$B$44)</f>
        <v>200</v>
      </c>
      <c r="S34" s="22">
        <f t="shared" si="3"/>
        <v>2378</v>
      </c>
      <c r="T34" s="21">
        <f t="shared" si="4"/>
        <v>26742</v>
      </c>
      <c r="U34" s="21">
        <f>IF(T34&lt;='Reference Rates'!$D$51,0,IF(T34&lt;='Reference Rates'!$D$52,'Reference Rates'!$B$51+(T34-'Reference Rates'!$D$51)*'Reference Rates'!$C$51,IF(T34&lt;='Reference Rates'!$D$53,'Reference Rates'!$B$52+(T34-'Reference Rates'!$D$52)*'Reference Rates'!$C$52,IF(T34&lt;='Reference Rates'!$D$54,'Reference Rates'!$B$53+(T34-'Reference Rates'!$D$53)*'Reference Rates'!$C$53,IF(T34&lt;='Reference Rates'!$D$55,'Reference Rates'!$B$54+(T34-'Reference Rates'!$D$54)*'Reference Rates'!$C$54,'Reference Rates'!$B$55+(T34-'Reference Rates'!$D$55)*'Reference Rates'!$C$55)))))</f>
        <v>886.35</v>
      </c>
      <c r="V34" s="22">
        <f t="shared" si="5"/>
        <v>3264.35</v>
      </c>
      <c r="W34" s="24">
        <f t="shared" si="6"/>
        <v>27155.65</v>
      </c>
      <c r="X34" s="25">
        <f>O34*'Reference Rates'!$B$28</f>
        <v>2900</v>
      </c>
      <c r="Y34" s="25">
        <f>IF(O34&lt;'Reference Rates'!$B$31,'Reference Rates'!$B$32,'Reference Rates'!$B$33)</f>
        <v>30</v>
      </c>
      <c r="Z34" s="25">
        <f>MIN(MAX(L34,'Reference Rates'!$B$39),'Reference Rates'!$B$40)*'Reference Rates'!$B$38</f>
        <v>728</v>
      </c>
      <c r="AA34" s="25">
        <f>MIN(L34,'Reference Rates'!$B$46)*'Reference Rates'!$B$45</f>
        <v>200</v>
      </c>
      <c r="AB34" s="26">
        <f t="shared" si="7"/>
        <v>3858</v>
      </c>
      <c r="AC34" s="27">
        <f t="shared" si="8"/>
        <v>34278</v>
      </c>
    </row>
    <row r="35" spans="1:29" x14ac:dyDescent="0.35">
      <c r="A35" s="16" t="s">
        <v>143</v>
      </c>
      <c r="B35" s="17" t="s">
        <v>175</v>
      </c>
      <c r="C35" s="16" t="s">
        <v>137</v>
      </c>
      <c r="D35" s="16" t="s">
        <v>144</v>
      </c>
      <c r="E35" s="18" t="s">
        <v>129</v>
      </c>
      <c r="F35" s="35">
        <v>160</v>
      </c>
      <c r="G35" s="20">
        <v>208</v>
      </c>
      <c r="H35" s="20">
        <v>0</v>
      </c>
      <c r="I35" s="20">
        <v>0</v>
      </c>
      <c r="J35" s="21">
        <f t="shared" si="0"/>
        <v>33280</v>
      </c>
      <c r="K35" s="21">
        <f t="shared" si="1"/>
        <v>0</v>
      </c>
      <c r="L35" s="22">
        <f t="shared" si="2"/>
        <v>33280</v>
      </c>
      <c r="M35" s="21">
        <f>'Reference Rates'!$B$19*G35/8</f>
        <v>1300</v>
      </c>
      <c r="N35" s="21">
        <f>I35*IFERROR(INDEX('Reference Rates'!$B$21:$B$22,MATCH(C35,'Reference Rates'!$A$21:$A$22,0)),0)</f>
        <v>0</v>
      </c>
      <c r="O35" s="23">
        <f>MIN('Reference Rates'!$B$30,MAX('Reference Rates'!$B$29,MROUND(L35,500)))</f>
        <v>33500</v>
      </c>
      <c r="P35" s="21">
        <f>O35*'Reference Rates'!$B$27</f>
        <v>1675</v>
      </c>
      <c r="Q35" s="21">
        <f>MIN(MAX(L35,'Reference Rates'!$B$39),'Reference Rates'!$B$40)*'Reference Rates'!$B$37</f>
        <v>832</v>
      </c>
      <c r="R35" s="21">
        <f>MIN(L35,'Reference Rates'!$B$46)*IF(L35&gt;1500,'Reference Rates'!$B$43,'Reference Rates'!$B$44)</f>
        <v>200</v>
      </c>
      <c r="S35" s="22">
        <f t="shared" si="3"/>
        <v>2707</v>
      </c>
      <c r="T35" s="21">
        <f t="shared" si="4"/>
        <v>30573</v>
      </c>
      <c r="U35" s="21">
        <f>IF(T35&lt;='Reference Rates'!$D$51,0,IF(T35&lt;='Reference Rates'!$D$52,'Reference Rates'!$B$51+(T35-'Reference Rates'!$D$51)*'Reference Rates'!$C$51,IF(T35&lt;='Reference Rates'!$D$53,'Reference Rates'!$B$52+(T35-'Reference Rates'!$D$52)*'Reference Rates'!$C$52,IF(T35&lt;='Reference Rates'!$D$54,'Reference Rates'!$B$53+(T35-'Reference Rates'!$D$53)*'Reference Rates'!$C$53,IF(T35&lt;='Reference Rates'!$D$55,'Reference Rates'!$B$54+(T35-'Reference Rates'!$D$54)*'Reference Rates'!$C$54,'Reference Rates'!$B$55+(T35-'Reference Rates'!$D$55)*'Reference Rates'!$C$55)))))</f>
        <v>1461</v>
      </c>
      <c r="V35" s="22">
        <f t="shared" si="5"/>
        <v>4168</v>
      </c>
      <c r="W35" s="24">
        <f t="shared" si="6"/>
        <v>30412</v>
      </c>
      <c r="X35" s="25">
        <f>O35*'Reference Rates'!$B$28</f>
        <v>3350</v>
      </c>
      <c r="Y35" s="25">
        <f>IF(O35&lt;'Reference Rates'!$B$31,'Reference Rates'!$B$32,'Reference Rates'!$B$33)</f>
        <v>30</v>
      </c>
      <c r="Z35" s="25">
        <f>MIN(MAX(L35,'Reference Rates'!$B$39),'Reference Rates'!$B$40)*'Reference Rates'!$B$38</f>
        <v>832</v>
      </c>
      <c r="AA35" s="25">
        <f>MIN(L35,'Reference Rates'!$B$46)*'Reference Rates'!$B$45</f>
        <v>200</v>
      </c>
      <c r="AB35" s="26">
        <f t="shared" si="7"/>
        <v>4412</v>
      </c>
      <c r="AC35" s="27">
        <f t="shared" si="8"/>
        <v>38992</v>
      </c>
    </row>
    <row r="36" spans="1:29" x14ac:dyDescent="0.35">
      <c r="A36" s="57" t="s">
        <v>145</v>
      </c>
      <c r="B36" s="57"/>
      <c r="C36" s="57"/>
      <c r="D36" s="57"/>
      <c r="E36" s="57"/>
      <c r="F36" s="57"/>
      <c r="G36" s="36">
        <f t="shared" ref="G36:N36" si="9">SUM(G6:G35)</f>
        <v>6216</v>
      </c>
      <c r="H36" s="36">
        <f t="shared" si="9"/>
        <v>157</v>
      </c>
      <c r="I36" s="36">
        <f t="shared" si="9"/>
        <v>52</v>
      </c>
      <c r="J36" s="37">
        <f t="shared" si="9"/>
        <v>606835</v>
      </c>
      <c r="K36" s="37">
        <f t="shared" si="9"/>
        <v>19526.5625</v>
      </c>
      <c r="L36" s="37">
        <f t="shared" si="9"/>
        <v>626361.5625</v>
      </c>
      <c r="M36" s="37">
        <f t="shared" si="9"/>
        <v>38850</v>
      </c>
      <c r="N36" s="37">
        <f t="shared" si="9"/>
        <v>37200</v>
      </c>
      <c r="O36" s="2"/>
      <c r="P36" s="37">
        <f t="shared" ref="P36:AC36" si="10">SUM(P6:P35)</f>
        <v>31300</v>
      </c>
      <c r="Q36" s="37">
        <f t="shared" si="10"/>
        <v>15659.0390625</v>
      </c>
      <c r="R36" s="37">
        <f t="shared" si="10"/>
        <v>6000</v>
      </c>
      <c r="S36" s="37">
        <f t="shared" si="10"/>
        <v>52959.0390625</v>
      </c>
      <c r="T36" s="37">
        <f t="shared" si="10"/>
        <v>238780.90625</v>
      </c>
      <c r="U36" s="37">
        <f t="shared" si="10"/>
        <v>4629.9609375</v>
      </c>
      <c r="V36" s="37">
        <f t="shared" si="10"/>
        <v>57589</v>
      </c>
      <c r="W36" s="37">
        <f t="shared" si="10"/>
        <v>644822.5625</v>
      </c>
      <c r="X36" s="37">
        <f t="shared" si="10"/>
        <v>62600</v>
      </c>
      <c r="Y36" s="37">
        <f t="shared" si="10"/>
        <v>900</v>
      </c>
      <c r="Z36" s="37">
        <f t="shared" si="10"/>
        <v>15659.0390625</v>
      </c>
      <c r="AA36" s="37">
        <f t="shared" si="10"/>
        <v>6000</v>
      </c>
      <c r="AB36" s="37">
        <f t="shared" si="10"/>
        <v>85159.0390625</v>
      </c>
      <c r="AC36" s="37">
        <f t="shared" si="10"/>
        <v>787570.6015625</v>
      </c>
    </row>
    <row r="38" spans="1:29" x14ac:dyDescent="0.35">
      <c r="A38" s="14" t="s">
        <v>146</v>
      </c>
      <c r="B38" s="38" t="s">
        <v>147</v>
      </c>
      <c r="C38" s="39" t="s">
        <v>148</v>
      </c>
      <c r="D38" s="40" t="s">
        <v>149</v>
      </c>
      <c r="G38" s="41" t="s">
        <v>150</v>
      </c>
    </row>
  </sheetData>
  <mergeCells count="4">
    <mergeCell ref="A1:W1"/>
    <mergeCell ref="A2:W2"/>
    <mergeCell ref="B3:D3"/>
    <mergeCell ref="A36:F36"/>
  </mergeCells>
  <dataValidations count="2">
    <dataValidation type="list" sqref="E6:E35" xr:uid="{00000000-0002-0000-0100-000000000000}">
      <formula1>"Y,N"</formula1>
      <formula2>0</formula2>
    </dataValidation>
    <dataValidation type="list" sqref="C6:C35" xr:uid="{00000000-0002-0000-0100-000001000000}">
      <formula1>"Store,Warehouse,Delivery – Luzon,Delivery – Samar,Admin / Supervisory"</formula1>
      <formula2>0</formula2>
    </dataValidation>
  </dataValidations>
  <pageMargins left="0.3" right="0.3" top="0.4" bottom="0.7" header="0.511811023622047" footer="0.5"/>
  <pageSetup orientation="landscape" horizontalDpi="300" verticalDpi="300"/>
  <headerFooter>
    <oddFooter>&amp;LPrinted Name: _______________________________&amp;CDate: _______________&amp;RSignature: _______________________________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3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9.54296875" customWidth="1"/>
    <col min="2" max="2" width="20" customWidth="1"/>
    <col min="3" max="3" width="17" customWidth="1"/>
    <col min="4" max="4" width="28" customWidth="1"/>
    <col min="5" max="5" width="5.54296875" customWidth="1"/>
    <col min="6" max="6" width="9.54296875" customWidth="1"/>
    <col min="7" max="8" width="8" customWidth="1"/>
    <col min="9" max="9" width="8.453125" customWidth="1"/>
    <col min="10" max="29" width="11.453125" customWidth="1"/>
  </cols>
  <sheetData>
    <row r="1" spans="1:29" ht="18" x14ac:dyDescent="0.4">
      <c r="A1" s="55" t="s">
        <v>151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9" ht="36" customHeight="1" x14ac:dyDescent="0.35">
      <c r="A2" s="54" t="s">
        <v>152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9" x14ac:dyDescent="0.35">
      <c r="A3" s="14" t="s">
        <v>67</v>
      </c>
      <c r="B3" s="56" t="s">
        <v>153</v>
      </c>
      <c r="C3" s="56"/>
      <c r="D3" s="56"/>
    </row>
    <row r="5" spans="1:29" ht="31.5" customHeight="1" x14ac:dyDescent="0.35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1" t="s">
        <v>84</v>
      </c>
      <c r="Q5" s="1" t="s">
        <v>85</v>
      </c>
      <c r="R5" s="1" t="s">
        <v>86</v>
      </c>
      <c r="S5" s="1" t="s">
        <v>87</v>
      </c>
      <c r="T5" s="1" t="s">
        <v>88</v>
      </c>
      <c r="U5" s="1" t="s">
        <v>89</v>
      </c>
      <c r="V5" s="1" t="s">
        <v>90</v>
      </c>
      <c r="W5" s="1" t="s">
        <v>91</v>
      </c>
      <c r="X5" s="15" t="s">
        <v>92</v>
      </c>
      <c r="Y5" s="15" t="s">
        <v>93</v>
      </c>
      <c r="Z5" s="15" t="s">
        <v>94</v>
      </c>
      <c r="AA5" s="15" t="s">
        <v>95</v>
      </c>
      <c r="AB5" s="15" t="s">
        <v>96</v>
      </c>
      <c r="AC5" s="15" t="s">
        <v>97</v>
      </c>
    </row>
    <row r="6" spans="1:29" x14ac:dyDescent="0.35">
      <c r="A6" s="42" t="str">
        <f>'Aug 2026'!A6</f>
        <v>EMP-001</v>
      </c>
      <c r="B6" s="42" t="str">
        <f>IF('Aug 2026'!B6="","",'Aug 2026'!B6)</f>
        <v>Mikhail Dustin Elpedes</v>
      </c>
      <c r="C6" s="42" t="str">
        <f>'Aug 2026'!C6</f>
        <v>Store</v>
      </c>
      <c r="D6" s="42" t="str">
        <f>'Aug 2026'!D6</f>
        <v>Cashier</v>
      </c>
      <c r="E6" s="43" t="str">
        <f>'Aug 2026'!E6</f>
        <v>Y</v>
      </c>
      <c r="F6" s="19">
        <f>'Reference Rates'!$E$14</f>
        <v>88.125</v>
      </c>
      <c r="G6" s="20">
        <v>208</v>
      </c>
      <c r="H6" s="20">
        <v>2</v>
      </c>
      <c r="I6" s="20">
        <v>0</v>
      </c>
      <c r="J6" s="21">
        <f t="shared" ref="J6:J35" si="0">F6*G6</f>
        <v>18330</v>
      </c>
      <c r="K6" s="21">
        <f t="shared" ref="K6:K35" si="1">F6*1.25*H6</f>
        <v>220.3125</v>
      </c>
      <c r="L6" s="22">
        <f t="shared" ref="L6:L35" si="2">J6+K6</f>
        <v>18550.3125</v>
      </c>
      <c r="M6" s="21">
        <f>'Reference Rates'!$B$19*G6/8</f>
        <v>1300</v>
      </c>
      <c r="N6" s="21">
        <f>I6*IFERROR(INDEX('Reference Rates'!$B$21:$B$22,MATCH(C6,'Reference Rates'!$A$21:$A$22,0)),0)</f>
        <v>0</v>
      </c>
      <c r="O6" s="23">
        <f>MIN('Reference Rates'!$B$30,MAX('Reference Rates'!$B$29,MROUND(L6,500)))</f>
        <v>18500</v>
      </c>
      <c r="P6" s="21">
        <f>O6*'Reference Rates'!$B$27</f>
        <v>925</v>
      </c>
      <c r="Q6" s="21">
        <f>MIN(MAX(L6,'Reference Rates'!$B$39),'Reference Rates'!$B$40)*'Reference Rates'!$B$37</f>
        <v>463.7578125</v>
      </c>
      <c r="R6" s="21">
        <f>MIN(L6,'Reference Rates'!$B$46)*IF(L6&gt;1500,'Reference Rates'!$B$43,'Reference Rates'!$B$44)</f>
        <v>200</v>
      </c>
      <c r="S6" s="22">
        <f t="shared" ref="S6:S35" si="3">P6+Q6+R6</f>
        <v>1588.7578125</v>
      </c>
      <c r="T6" s="21">
        <f t="shared" ref="T6:T35" si="4">IF(E6="Y",0,MAX(0,L6-S6))</f>
        <v>0</v>
      </c>
      <c r="U6" s="21">
        <f>IF(T6&lt;='Reference Rates'!$D$51,0,IF(T6&lt;='Reference Rates'!$D$52,'Reference Rates'!$B$51+(T6-'Reference Rates'!$D$51)*'Reference Rates'!$C$51,IF(T6&lt;='Reference Rates'!$D$53,'Reference Rates'!$B$52+(T6-'Reference Rates'!$D$52)*'Reference Rates'!$C$52,IF(T6&lt;='Reference Rates'!$D$54,'Reference Rates'!$B$53+(T6-'Reference Rates'!$D$53)*'Reference Rates'!$C$53,IF(T6&lt;='Reference Rates'!$D$55,'Reference Rates'!$B$54+(T6-'Reference Rates'!$D$54)*'Reference Rates'!$C$54,'Reference Rates'!$B$55+(T6-'Reference Rates'!$D$55)*'Reference Rates'!$C$55)))))</f>
        <v>0</v>
      </c>
      <c r="V6" s="22">
        <f t="shared" ref="V6:V35" si="5">S6+U6</f>
        <v>1588.7578125</v>
      </c>
      <c r="W6" s="24">
        <f t="shared" ref="W6:W35" si="6">L6+M6+N6-V6</f>
        <v>18261.5546875</v>
      </c>
      <c r="X6" s="25">
        <f>O6*'Reference Rates'!$B$28</f>
        <v>1850</v>
      </c>
      <c r="Y6" s="25">
        <f>IF(O6&lt;'Reference Rates'!$B$31,'Reference Rates'!$B$32,'Reference Rates'!$B$33)</f>
        <v>30</v>
      </c>
      <c r="Z6" s="25">
        <f>MIN(MAX(L6,'Reference Rates'!$B$39),'Reference Rates'!$B$40)*'Reference Rates'!$B$38</f>
        <v>463.7578125</v>
      </c>
      <c r="AA6" s="25">
        <f>MIN(L6,'Reference Rates'!$B$46)*'Reference Rates'!$B$45</f>
        <v>200</v>
      </c>
      <c r="AB6" s="26">
        <f t="shared" ref="AB6:AB35" si="7">X6+Y6+Z6+AA6</f>
        <v>2543.7578125</v>
      </c>
      <c r="AC6" s="27">
        <f t="shared" ref="AC6:AC35" si="8">L6+M6+N6+AB6</f>
        <v>22394.0703125</v>
      </c>
    </row>
    <row r="7" spans="1:29" x14ac:dyDescent="0.35">
      <c r="A7" s="42" t="str">
        <f>'Aug 2026'!A7</f>
        <v>EMP-002</v>
      </c>
      <c r="B7" s="42" t="str">
        <f>IF('Aug 2026'!B7="","",'Aug 2026'!B7)</f>
        <v/>
      </c>
      <c r="C7" s="42" t="str">
        <f>'Aug 2026'!C7</f>
        <v>Store</v>
      </c>
      <c r="D7" s="42" t="str">
        <f>'Aug 2026'!D7</f>
        <v>Cashier</v>
      </c>
      <c r="E7" s="43" t="str">
        <f>'Aug 2026'!E7</f>
        <v>Y</v>
      </c>
      <c r="F7" s="19">
        <f>'Reference Rates'!$E$14</f>
        <v>88.125</v>
      </c>
      <c r="G7" s="20">
        <v>208</v>
      </c>
      <c r="H7" s="20">
        <v>5</v>
      </c>
      <c r="I7" s="20">
        <v>0</v>
      </c>
      <c r="J7" s="21">
        <f t="shared" si="0"/>
        <v>18330</v>
      </c>
      <c r="K7" s="21">
        <f t="shared" si="1"/>
        <v>550.78125</v>
      </c>
      <c r="L7" s="22">
        <f t="shared" si="2"/>
        <v>18880.78125</v>
      </c>
      <c r="M7" s="21">
        <f>'Reference Rates'!$B$19*G7/8</f>
        <v>1300</v>
      </c>
      <c r="N7" s="21">
        <f>I7*IFERROR(INDEX('Reference Rates'!$B$21:$B$22,MATCH(C7,'Reference Rates'!$A$21:$A$22,0)),0)</f>
        <v>0</v>
      </c>
      <c r="O7" s="23">
        <f>MIN('Reference Rates'!$B$30,MAX('Reference Rates'!$B$29,MROUND(L7,500)))</f>
        <v>19000</v>
      </c>
      <c r="P7" s="21">
        <f>O7*'Reference Rates'!$B$27</f>
        <v>950</v>
      </c>
      <c r="Q7" s="21">
        <f>MIN(MAX(L7,'Reference Rates'!$B$39),'Reference Rates'!$B$40)*'Reference Rates'!$B$37</f>
        <v>472.01953125</v>
      </c>
      <c r="R7" s="21">
        <f>MIN(L7,'Reference Rates'!$B$46)*IF(L7&gt;1500,'Reference Rates'!$B$43,'Reference Rates'!$B$44)</f>
        <v>200</v>
      </c>
      <c r="S7" s="22">
        <f t="shared" si="3"/>
        <v>1622.01953125</v>
      </c>
      <c r="T7" s="21">
        <f t="shared" si="4"/>
        <v>0</v>
      </c>
      <c r="U7" s="21">
        <f>IF(T7&lt;='Reference Rates'!$D$51,0,IF(T7&lt;='Reference Rates'!$D$52,'Reference Rates'!$B$51+(T7-'Reference Rates'!$D$51)*'Reference Rates'!$C$51,IF(T7&lt;='Reference Rates'!$D$53,'Reference Rates'!$B$52+(T7-'Reference Rates'!$D$52)*'Reference Rates'!$C$52,IF(T7&lt;='Reference Rates'!$D$54,'Reference Rates'!$B$53+(T7-'Reference Rates'!$D$53)*'Reference Rates'!$C$53,IF(T7&lt;='Reference Rates'!$D$55,'Reference Rates'!$B$54+(T7-'Reference Rates'!$D$54)*'Reference Rates'!$C$54,'Reference Rates'!$B$55+(T7-'Reference Rates'!$D$55)*'Reference Rates'!$C$55)))))</f>
        <v>0</v>
      </c>
      <c r="V7" s="22">
        <f t="shared" si="5"/>
        <v>1622.01953125</v>
      </c>
      <c r="W7" s="24">
        <f t="shared" si="6"/>
        <v>18558.76171875</v>
      </c>
      <c r="X7" s="25">
        <f>O7*'Reference Rates'!$B$28</f>
        <v>1900</v>
      </c>
      <c r="Y7" s="25">
        <f>IF(O7&lt;'Reference Rates'!$B$31,'Reference Rates'!$B$32,'Reference Rates'!$B$33)</f>
        <v>30</v>
      </c>
      <c r="Z7" s="25">
        <f>MIN(MAX(L7,'Reference Rates'!$B$39),'Reference Rates'!$B$40)*'Reference Rates'!$B$38</f>
        <v>472.01953125</v>
      </c>
      <c r="AA7" s="25">
        <f>MIN(L7,'Reference Rates'!$B$46)*'Reference Rates'!$B$45</f>
        <v>200</v>
      </c>
      <c r="AB7" s="26">
        <f t="shared" si="7"/>
        <v>2602.01953125</v>
      </c>
      <c r="AC7" s="27">
        <f t="shared" si="8"/>
        <v>22782.80078125</v>
      </c>
    </row>
    <row r="8" spans="1:29" x14ac:dyDescent="0.35">
      <c r="A8" s="42" t="str">
        <f>'Aug 2026'!A8</f>
        <v>EMP-003</v>
      </c>
      <c r="B8" s="42" t="str">
        <f>IF('Aug 2026'!B8="","",'Aug 2026'!B8)</f>
        <v/>
      </c>
      <c r="C8" s="42" t="str">
        <f>'Aug 2026'!C8</f>
        <v>Store</v>
      </c>
      <c r="D8" s="42" t="str">
        <f>'Aug 2026'!D8</f>
        <v>Cashier</v>
      </c>
      <c r="E8" s="43" t="str">
        <f>'Aug 2026'!E8</f>
        <v>Y</v>
      </c>
      <c r="F8" s="19">
        <f>'Reference Rates'!$E$14</f>
        <v>88.125</v>
      </c>
      <c r="G8" s="20">
        <v>208</v>
      </c>
      <c r="H8" s="20">
        <v>0</v>
      </c>
      <c r="I8" s="20">
        <v>0</v>
      </c>
      <c r="J8" s="21">
        <f t="shared" si="0"/>
        <v>18330</v>
      </c>
      <c r="K8" s="21">
        <f t="shared" si="1"/>
        <v>0</v>
      </c>
      <c r="L8" s="22">
        <f t="shared" si="2"/>
        <v>18330</v>
      </c>
      <c r="M8" s="21">
        <f>'Reference Rates'!$B$19*G8/8</f>
        <v>1300</v>
      </c>
      <c r="N8" s="21">
        <f>I8*IFERROR(INDEX('Reference Rates'!$B$21:$B$22,MATCH(C8,'Reference Rates'!$A$21:$A$22,0)),0)</f>
        <v>0</v>
      </c>
      <c r="O8" s="23">
        <f>MIN('Reference Rates'!$B$30,MAX('Reference Rates'!$B$29,MROUND(L8,500)))</f>
        <v>18500</v>
      </c>
      <c r="P8" s="21">
        <f>O8*'Reference Rates'!$B$27</f>
        <v>925</v>
      </c>
      <c r="Q8" s="21">
        <f>MIN(MAX(L8,'Reference Rates'!$B$39),'Reference Rates'!$B$40)*'Reference Rates'!$B$37</f>
        <v>458.25</v>
      </c>
      <c r="R8" s="21">
        <f>MIN(L8,'Reference Rates'!$B$46)*IF(L8&gt;1500,'Reference Rates'!$B$43,'Reference Rates'!$B$44)</f>
        <v>200</v>
      </c>
      <c r="S8" s="22">
        <f t="shared" si="3"/>
        <v>1583.25</v>
      </c>
      <c r="T8" s="21">
        <f t="shared" si="4"/>
        <v>0</v>
      </c>
      <c r="U8" s="21">
        <f>IF(T8&lt;='Reference Rates'!$D$51,0,IF(T8&lt;='Reference Rates'!$D$52,'Reference Rates'!$B$51+(T8-'Reference Rates'!$D$51)*'Reference Rates'!$C$51,IF(T8&lt;='Reference Rates'!$D$53,'Reference Rates'!$B$52+(T8-'Reference Rates'!$D$52)*'Reference Rates'!$C$52,IF(T8&lt;='Reference Rates'!$D$54,'Reference Rates'!$B$53+(T8-'Reference Rates'!$D$53)*'Reference Rates'!$C$53,IF(T8&lt;='Reference Rates'!$D$55,'Reference Rates'!$B$54+(T8-'Reference Rates'!$D$54)*'Reference Rates'!$C$54,'Reference Rates'!$B$55+(T8-'Reference Rates'!$D$55)*'Reference Rates'!$C$55)))))</f>
        <v>0</v>
      </c>
      <c r="V8" s="22">
        <f t="shared" si="5"/>
        <v>1583.25</v>
      </c>
      <c r="W8" s="24">
        <f t="shared" si="6"/>
        <v>18046.75</v>
      </c>
      <c r="X8" s="25">
        <f>O8*'Reference Rates'!$B$28</f>
        <v>1850</v>
      </c>
      <c r="Y8" s="25">
        <f>IF(O8&lt;'Reference Rates'!$B$31,'Reference Rates'!$B$32,'Reference Rates'!$B$33)</f>
        <v>30</v>
      </c>
      <c r="Z8" s="25">
        <f>MIN(MAX(L8,'Reference Rates'!$B$39),'Reference Rates'!$B$40)*'Reference Rates'!$B$38</f>
        <v>458.25</v>
      </c>
      <c r="AA8" s="25">
        <f>MIN(L8,'Reference Rates'!$B$46)*'Reference Rates'!$B$45</f>
        <v>200</v>
      </c>
      <c r="AB8" s="26">
        <f t="shared" si="7"/>
        <v>2538.25</v>
      </c>
      <c r="AC8" s="27">
        <f t="shared" si="8"/>
        <v>22168.25</v>
      </c>
    </row>
    <row r="9" spans="1:29" x14ac:dyDescent="0.35">
      <c r="A9" s="42" t="str">
        <f>'Aug 2026'!A9</f>
        <v>EMP-004</v>
      </c>
      <c r="B9" s="42" t="str">
        <f>IF('Aug 2026'!B9="","",'Aug 2026'!B9)</f>
        <v/>
      </c>
      <c r="C9" s="42" t="str">
        <f>'Aug 2026'!C9</f>
        <v>Store</v>
      </c>
      <c r="D9" s="42" t="str">
        <f>'Aug 2026'!D9</f>
        <v>Cashier</v>
      </c>
      <c r="E9" s="43" t="str">
        <f>'Aug 2026'!E9</f>
        <v>Y</v>
      </c>
      <c r="F9" s="19">
        <f>'Reference Rates'!$E$14</f>
        <v>88.125</v>
      </c>
      <c r="G9" s="20">
        <v>208</v>
      </c>
      <c r="H9" s="20">
        <v>4</v>
      </c>
      <c r="I9" s="20">
        <v>0</v>
      </c>
      <c r="J9" s="21">
        <f t="shared" si="0"/>
        <v>18330</v>
      </c>
      <c r="K9" s="21">
        <f t="shared" si="1"/>
        <v>440.625</v>
      </c>
      <c r="L9" s="22">
        <f t="shared" si="2"/>
        <v>18770.625</v>
      </c>
      <c r="M9" s="21">
        <f>'Reference Rates'!$B$19*G9/8</f>
        <v>1300</v>
      </c>
      <c r="N9" s="21">
        <f>I9*IFERROR(INDEX('Reference Rates'!$B$21:$B$22,MATCH(C9,'Reference Rates'!$A$21:$A$22,0)),0)</f>
        <v>0</v>
      </c>
      <c r="O9" s="23">
        <f>MIN('Reference Rates'!$B$30,MAX('Reference Rates'!$B$29,MROUND(L9,500)))</f>
        <v>19000</v>
      </c>
      <c r="P9" s="21">
        <f>O9*'Reference Rates'!$B$27</f>
        <v>950</v>
      </c>
      <c r="Q9" s="21">
        <f>MIN(MAX(L9,'Reference Rates'!$B$39),'Reference Rates'!$B$40)*'Reference Rates'!$B$37</f>
        <v>469.265625</v>
      </c>
      <c r="R9" s="21">
        <f>MIN(L9,'Reference Rates'!$B$46)*IF(L9&gt;1500,'Reference Rates'!$B$43,'Reference Rates'!$B$44)</f>
        <v>200</v>
      </c>
      <c r="S9" s="22">
        <f t="shared" si="3"/>
        <v>1619.265625</v>
      </c>
      <c r="T9" s="21">
        <f t="shared" si="4"/>
        <v>0</v>
      </c>
      <c r="U9" s="21">
        <f>IF(T9&lt;='Reference Rates'!$D$51,0,IF(T9&lt;='Reference Rates'!$D$52,'Reference Rates'!$B$51+(T9-'Reference Rates'!$D$51)*'Reference Rates'!$C$51,IF(T9&lt;='Reference Rates'!$D$53,'Reference Rates'!$B$52+(T9-'Reference Rates'!$D$52)*'Reference Rates'!$C$52,IF(T9&lt;='Reference Rates'!$D$54,'Reference Rates'!$B$53+(T9-'Reference Rates'!$D$53)*'Reference Rates'!$C$53,IF(T9&lt;='Reference Rates'!$D$55,'Reference Rates'!$B$54+(T9-'Reference Rates'!$D$54)*'Reference Rates'!$C$54,'Reference Rates'!$B$55+(T9-'Reference Rates'!$D$55)*'Reference Rates'!$C$55)))))</f>
        <v>0</v>
      </c>
      <c r="V9" s="22">
        <f t="shared" si="5"/>
        <v>1619.265625</v>
      </c>
      <c r="W9" s="24">
        <f t="shared" si="6"/>
        <v>18451.359375</v>
      </c>
      <c r="X9" s="25">
        <f>O9*'Reference Rates'!$B$28</f>
        <v>1900</v>
      </c>
      <c r="Y9" s="25">
        <f>IF(O9&lt;'Reference Rates'!$B$31,'Reference Rates'!$B$32,'Reference Rates'!$B$33)</f>
        <v>30</v>
      </c>
      <c r="Z9" s="25">
        <f>MIN(MAX(L9,'Reference Rates'!$B$39),'Reference Rates'!$B$40)*'Reference Rates'!$B$38</f>
        <v>469.265625</v>
      </c>
      <c r="AA9" s="25">
        <f>MIN(L9,'Reference Rates'!$B$46)*'Reference Rates'!$B$45</f>
        <v>200</v>
      </c>
      <c r="AB9" s="26">
        <f t="shared" si="7"/>
        <v>2599.265625</v>
      </c>
      <c r="AC9" s="27">
        <f t="shared" si="8"/>
        <v>22669.890625</v>
      </c>
    </row>
    <row r="10" spans="1:29" x14ac:dyDescent="0.35">
      <c r="A10" s="42" t="str">
        <f>'Aug 2026'!A10</f>
        <v>EMP-005</v>
      </c>
      <c r="B10" s="42" t="str">
        <f>IF('Aug 2026'!B10="","",'Aug 2026'!B10)</f>
        <v/>
      </c>
      <c r="C10" s="42" t="str">
        <f>'Aug 2026'!C10</f>
        <v>Store</v>
      </c>
      <c r="D10" s="42" t="str">
        <f>'Aug 2026'!D10</f>
        <v>Sales Clerk</v>
      </c>
      <c r="E10" s="43" t="str">
        <f>'Aug 2026'!E10</f>
        <v>Y</v>
      </c>
      <c r="F10" s="19">
        <f>'Reference Rates'!$E$14</f>
        <v>88.125</v>
      </c>
      <c r="G10" s="20">
        <v>208</v>
      </c>
      <c r="H10" s="20">
        <v>0</v>
      </c>
      <c r="I10" s="20">
        <v>0</v>
      </c>
      <c r="J10" s="21">
        <f t="shared" si="0"/>
        <v>18330</v>
      </c>
      <c r="K10" s="21">
        <f t="shared" si="1"/>
        <v>0</v>
      </c>
      <c r="L10" s="22">
        <f t="shared" si="2"/>
        <v>18330</v>
      </c>
      <c r="M10" s="21">
        <f>'Reference Rates'!$B$19*G10/8</f>
        <v>1300</v>
      </c>
      <c r="N10" s="21">
        <f>I10*IFERROR(INDEX('Reference Rates'!$B$21:$B$22,MATCH(C10,'Reference Rates'!$A$21:$A$22,0)),0)</f>
        <v>0</v>
      </c>
      <c r="O10" s="23">
        <f>MIN('Reference Rates'!$B$30,MAX('Reference Rates'!$B$29,MROUND(L10,500)))</f>
        <v>18500</v>
      </c>
      <c r="P10" s="21">
        <f>O10*'Reference Rates'!$B$27</f>
        <v>925</v>
      </c>
      <c r="Q10" s="21">
        <f>MIN(MAX(L10,'Reference Rates'!$B$39),'Reference Rates'!$B$40)*'Reference Rates'!$B$37</f>
        <v>458.25</v>
      </c>
      <c r="R10" s="21">
        <f>MIN(L10,'Reference Rates'!$B$46)*IF(L10&gt;1500,'Reference Rates'!$B$43,'Reference Rates'!$B$44)</f>
        <v>200</v>
      </c>
      <c r="S10" s="22">
        <f t="shared" si="3"/>
        <v>1583.25</v>
      </c>
      <c r="T10" s="21">
        <f t="shared" si="4"/>
        <v>0</v>
      </c>
      <c r="U10" s="21">
        <f>IF(T10&lt;='Reference Rates'!$D$51,0,IF(T10&lt;='Reference Rates'!$D$52,'Reference Rates'!$B$51+(T10-'Reference Rates'!$D$51)*'Reference Rates'!$C$51,IF(T10&lt;='Reference Rates'!$D$53,'Reference Rates'!$B$52+(T10-'Reference Rates'!$D$52)*'Reference Rates'!$C$52,IF(T10&lt;='Reference Rates'!$D$54,'Reference Rates'!$B$53+(T10-'Reference Rates'!$D$53)*'Reference Rates'!$C$53,IF(T10&lt;='Reference Rates'!$D$55,'Reference Rates'!$B$54+(T10-'Reference Rates'!$D$54)*'Reference Rates'!$C$54,'Reference Rates'!$B$55+(T10-'Reference Rates'!$D$55)*'Reference Rates'!$C$55)))))</f>
        <v>0</v>
      </c>
      <c r="V10" s="22">
        <f t="shared" si="5"/>
        <v>1583.25</v>
      </c>
      <c r="W10" s="24">
        <f t="shared" si="6"/>
        <v>18046.75</v>
      </c>
      <c r="X10" s="25">
        <f>O10*'Reference Rates'!$B$28</f>
        <v>1850</v>
      </c>
      <c r="Y10" s="25">
        <f>IF(O10&lt;'Reference Rates'!$B$31,'Reference Rates'!$B$32,'Reference Rates'!$B$33)</f>
        <v>30</v>
      </c>
      <c r="Z10" s="25">
        <f>MIN(MAX(L10,'Reference Rates'!$B$39),'Reference Rates'!$B$40)*'Reference Rates'!$B$38</f>
        <v>458.25</v>
      </c>
      <c r="AA10" s="25">
        <f>MIN(L10,'Reference Rates'!$B$46)*'Reference Rates'!$B$45</f>
        <v>200</v>
      </c>
      <c r="AB10" s="26">
        <f t="shared" si="7"/>
        <v>2538.25</v>
      </c>
      <c r="AC10" s="27">
        <f t="shared" si="8"/>
        <v>22168.25</v>
      </c>
    </row>
    <row r="11" spans="1:29" x14ac:dyDescent="0.35">
      <c r="A11" s="42" t="str">
        <f>'Aug 2026'!A11</f>
        <v>EMP-006</v>
      </c>
      <c r="B11" s="42" t="str">
        <f>IF('Aug 2026'!B11="","",'Aug 2026'!B11)</f>
        <v/>
      </c>
      <c r="C11" s="42" t="str">
        <f>'Aug 2026'!C11</f>
        <v>Store</v>
      </c>
      <c r="D11" s="42" t="str">
        <f>'Aug 2026'!D11</f>
        <v>Sales Clerk</v>
      </c>
      <c r="E11" s="43" t="str">
        <f>'Aug 2026'!E11</f>
        <v>Y</v>
      </c>
      <c r="F11" s="19">
        <f>'Reference Rates'!$E$14</f>
        <v>88.125</v>
      </c>
      <c r="G11" s="20">
        <v>208</v>
      </c>
      <c r="H11" s="20">
        <v>0</v>
      </c>
      <c r="I11" s="20">
        <v>0</v>
      </c>
      <c r="J11" s="21">
        <f t="shared" si="0"/>
        <v>18330</v>
      </c>
      <c r="K11" s="21">
        <f t="shared" si="1"/>
        <v>0</v>
      </c>
      <c r="L11" s="22">
        <f t="shared" si="2"/>
        <v>18330</v>
      </c>
      <c r="M11" s="21">
        <f>'Reference Rates'!$B$19*G11/8</f>
        <v>1300</v>
      </c>
      <c r="N11" s="21">
        <f>I11*IFERROR(INDEX('Reference Rates'!$B$21:$B$22,MATCH(C11,'Reference Rates'!$A$21:$A$22,0)),0)</f>
        <v>0</v>
      </c>
      <c r="O11" s="23">
        <f>MIN('Reference Rates'!$B$30,MAX('Reference Rates'!$B$29,MROUND(L11,500)))</f>
        <v>18500</v>
      </c>
      <c r="P11" s="21">
        <f>O11*'Reference Rates'!$B$27</f>
        <v>925</v>
      </c>
      <c r="Q11" s="21">
        <f>MIN(MAX(L11,'Reference Rates'!$B$39),'Reference Rates'!$B$40)*'Reference Rates'!$B$37</f>
        <v>458.25</v>
      </c>
      <c r="R11" s="21">
        <f>MIN(L11,'Reference Rates'!$B$46)*IF(L11&gt;1500,'Reference Rates'!$B$43,'Reference Rates'!$B$44)</f>
        <v>200</v>
      </c>
      <c r="S11" s="22">
        <f t="shared" si="3"/>
        <v>1583.25</v>
      </c>
      <c r="T11" s="21">
        <f t="shared" si="4"/>
        <v>0</v>
      </c>
      <c r="U11" s="21">
        <f>IF(T11&lt;='Reference Rates'!$D$51,0,IF(T11&lt;='Reference Rates'!$D$52,'Reference Rates'!$B$51+(T11-'Reference Rates'!$D$51)*'Reference Rates'!$C$51,IF(T11&lt;='Reference Rates'!$D$53,'Reference Rates'!$B$52+(T11-'Reference Rates'!$D$52)*'Reference Rates'!$C$52,IF(T11&lt;='Reference Rates'!$D$54,'Reference Rates'!$B$53+(T11-'Reference Rates'!$D$53)*'Reference Rates'!$C$53,IF(T11&lt;='Reference Rates'!$D$55,'Reference Rates'!$B$54+(T11-'Reference Rates'!$D$54)*'Reference Rates'!$C$54,'Reference Rates'!$B$55+(T11-'Reference Rates'!$D$55)*'Reference Rates'!$C$55)))))</f>
        <v>0</v>
      </c>
      <c r="V11" s="22">
        <f t="shared" si="5"/>
        <v>1583.25</v>
      </c>
      <c r="W11" s="24">
        <f t="shared" si="6"/>
        <v>18046.75</v>
      </c>
      <c r="X11" s="25">
        <f>O11*'Reference Rates'!$B$28</f>
        <v>1850</v>
      </c>
      <c r="Y11" s="25">
        <f>IF(O11&lt;'Reference Rates'!$B$31,'Reference Rates'!$B$32,'Reference Rates'!$B$33)</f>
        <v>30</v>
      </c>
      <c r="Z11" s="25">
        <f>MIN(MAX(L11,'Reference Rates'!$B$39),'Reference Rates'!$B$40)*'Reference Rates'!$B$38</f>
        <v>458.25</v>
      </c>
      <c r="AA11" s="25">
        <f>MIN(L11,'Reference Rates'!$B$46)*'Reference Rates'!$B$45</f>
        <v>200</v>
      </c>
      <c r="AB11" s="26">
        <f t="shared" si="7"/>
        <v>2538.25</v>
      </c>
      <c r="AC11" s="27">
        <f t="shared" si="8"/>
        <v>22168.25</v>
      </c>
    </row>
    <row r="12" spans="1:29" x14ac:dyDescent="0.35">
      <c r="A12" s="42" t="str">
        <f>'Aug 2026'!A12</f>
        <v>EMP-007</v>
      </c>
      <c r="B12" s="42" t="str">
        <f>IF('Aug 2026'!B12="","",'Aug 2026'!B12)</f>
        <v/>
      </c>
      <c r="C12" s="42" t="str">
        <f>'Aug 2026'!C12</f>
        <v>Store</v>
      </c>
      <c r="D12" s="42" t="str">
        <f>'Aug 2026'!D12</f>
        <v>Sales Clerk</v>
      </c>
      <c r="E12" s="43" t="str">
        <f>'Aug 2026'!E12</f>
        <v>Y</v>
      </c>
      <c r="F12" s="19">
        <f>'Reference Rates'!$E$14</f>
        <v>88.125</v>
      </c>
      <c r="G12" s="20">
        <v>200</v>
      </c>
      <c r="H12" s="20">
        <v>0</v>
      </c>
      <c r="I12" s="20">
        <v>0</v>
      </c>
      <c r="J12" s="21">
        <f t="shared" si="0"/>
        <v>17625</v>
      </c>
      <c r="K12" s="21">
        <f t="shared" si="1"/>
        <v>0</v>
      </c>
      <c r="L12" s="22">
        <f t="shared" si="2"/>
        <v>17625</v>
      </c>
      <c r="M12" s="21">
        <f>'Reference Rates'!$B$19*G12/8</f>
        <v>1250</v>
      </c>
      <c r="N12" s="21">
        <f>I12*IFERROR(INDEX('Reference Rates'!$B$21:$B$22,MATCH(C12,'Reference Rates'!$A$21:$A$22,0)),0)</f>
        <v>0</v>
      </c>
      <c r="O12" s="23">
        <f>MIN('Reference Rates'!$B$30,MAX('Reference Rates'!$B$29,MROUND(L12,500)))</f>
        <v>17500</v>
      </c>
      <c r="P12" s="21">
        <f>O12*'Reference Rates'!$B$27</f>
        <v>875</v>
      </c>
      <c r="Q12" s="21">
        <f>MIN(MAX(L12,'Reference Rates'!$B$39),'Reference Rates'!$B$40)*'Reference Rates'!$B$37</f>
        <v>440.625</v>
      </c>
      <c r="R12" s="21">
        <f>MIN(L12,'Reference Rates'!$B$46)*IF(L12&gt;1500,'Reference Rates'!$B$43,'Reference Rates'!$B$44)</f>
        <v>200</v>
      </c>
      <c r="S12" s="22">
        <f t="shared" si="3"/>
        <v>1515.625</v>
      </c>
      <c r="T12" s="21">
        <f t="shared" si="4"/>
        <v>0</v>
      </c>
      <c r="U12" s="21">
        <f>IF(T12&lt;='Reference Rates'!$D$51,0,IF(T12&lt;='Reference Rates'!$D$52,'Reference Rates'!$B$51+(T12-'Reference Rates'!$D$51)*'Reference Rates'!$C$51,IF(T12&lt;='Reference Rates'!$D$53,'Reference Rates'!$B$52+(T12-'Reference Rates'!$D$52)*'Reference Rates'!$C$52,IF(T12&lt;='Reference Rates'!$D$54,'Reference Rates'!$B$53+(T12-'Reference Rates'!$D$53)*'Reference Rates'!$C$53,IF(T12&lt;='Reference Rates'!$D$55,'Reference Rates'!$B$54+(T12-'Reference Rates'!$D$54)*'Reference Rates'!$C$54,'Reference Rates'!$B$55+(T12-'Reference Rates'!$D$55)*'Reference Rates'!$C$55)))))</f>
        <v>0</v>
      </c>
      <c r="V12" s="22">
        <f t="shared" si="5"/>
        <v>1515.625</v>
      </c>
      <c r="W12" s="24">
        <f t="shared" si="6"/>
        <v>17359.375</v>
      </c>
      <c r="X12" s="25">
        <f>O12*'Reference Rates'!$B$28</f>
        <v>1750</v>
      </c>
      <c r="Y12" s="25">
        <f>IF(O12&lt;'Reference Rates'!$B$31,'Reference Rates'!$B$32,'Reference Rates'!$B$33)</f>
        <v>30</v>
      </c>
      <c r="Z12" s="25">
        <f>MIN(MAX(L12,'Reference Rates'!$B$39),'Reference Rates'!$B$40)*'Reference Rates'!$B$38</f>
        <v>440.625</v>
      </c>
      <c r="AA12" s="25">
        <f>MIN(L12,'Reference Rates'!$B$46)*'Reference Rates'!$B$45</f>
        <v>200</v>
      </c>
      <c r="AB12" s="26">
        <f t="shared" si="7"/>
        <v>2420.625</v>
      </c>
      <c r="AC12" s="27">
        <f t="shared" si="8"/>
        <v>21295.625</v>
      </c>
    </row>
    <row r="13" spans="1:29" x14ac:dyDescent="0.35">
      <c r="A13" s="42" t="str">
        <f>'Aug 2026'!A13</f>
        <v>EMP-008</v>
      </c>
      <c r="B13" s="42" t="str">
        <f>IF('Aug 2026'!B13="","",'Aug 2026'!B13)</f>
        <v/>
      </c>
      <c r="C13" s="42" t="str">
        <f>'Aug 2026'!C13</f>
        <v>Store</v>
      </c>
      <c r="D13" s="42" t="str">
        <f>'Aug 2026'!D13</f>
        <v>Sales Clerk</v>
      </c>
      <c r="E13" s="43" t="str">
        <f>'Aug 2026'!E13</f>
        <v>Y</v>
      </c>
      <c r="F13" s="19">
        <f>'Reference Rates'!$E$14</f>
        <v>88.125</v>
      </c>
      <c r="G13" s="20">
        <v>208</v>
      </c>
      <c r="H13" s="20">
        <v>5</v>
      </c>
      <c r="I13" s="20">
        <v>0</v>
      </c>
      <c r="J13" s="21">
        <f t="shared" si="0"/>
        <v>18330</v>
      </c>
      <c r="K13" s="21">
        <f t="shared" si="1"/>
        <v>550.78125</v>
      </c>
      <c r="L13" s="22">
        <f t="shared" si="2"/>
        <v>18880.78125</v>
      </c>
      <c r="M13" s="21">
        <f>'Reference Rates'!$B$19*G13/8</f>
        <v>1300</v>
      </c>
      <c r="N13" s="21">
        <f>I13*IFERROR(INDEX('Reference Rates'!$B$21:$B$22,MATCH(C13,'Reference Rates'!$A$21:$A$22,0)),0)</f>
        <v>0</v>
      </c>
      <c r="O13" s="23">
        <f>MIN('Reference Rates'!$B$30,MAX('Reference Rates'!$B$29,MROUND(L13,500)))</f>
        <v>19000</v>
      </c>
      <c r="P13" s="21">
        <f>O13*'Reference Rates'!$B$27</f>
        <v>950</v>
      </c>
      <c r="Q13" s="21">
        <f>MIN(MAX(L13,'Reference Rates'!$B$39),'Reference Rates'!$B$40)*'Reference Rates'!$B$37</f>
        <v>472.01953125</v>
      </c>
      <c r="R13" s="21">
        <f>MIN(L13,'Reference Rates'!$B$46)*IF(L13&gt;1500,'Reference Rates'!$B$43,'Reference Rates'!$B$44)</f>
        <v>200</v>
      </c>
      <c r="S13" s="22">
        <f t="shared" si="3"/>
        <v>1622.01953125</v>
      </c>
      <c r="T13" s="21">
        <f t="shared" si="4"/>
        <v>0</v>
      </c>
      <c r="U13" s="21">
        <f>IF(T13&lt;='Reference Rates'!$D$51,0,IF(T13&lt;='Reference Rates'!$D$52,'Reference Rates'!$B$51+(T13-'Reference Rates'!$D$51)*'Reference Rates'!$C$51,IF(T13&lt;='Reference Rates'!$D$53,'Reference Rates'!$B$52+(T13-'Reference Rates'!$D$52)*'Reference Rates'!$C$52,IF(T13&lt;='Reference Rates'!$D$54,'Reference Rates'!$B$53+(T13-'Reference Rates'!$D$53)*'Reference Rates'!$C$53,IF(T13&lt;='Reference Rates'!$D$55,'Reference Rates'!$B$54+(T13-'Reference Rates'!$D$54)*'Reference Rates'!$C$54,'Reference Rates'!$B$55+(T13-'Reference Rates'!$D$55)*'Reference Rates'!$C$55)))))</f>
        <v>0</v>
      </c>
      <c r="V13" s="22">
        <f t="shared" si="5"/>
        <v>1622.01953125</v>
      </c>
      <c r="W13" s="24">
        <f t="shared" si="6"/>
        <v>18558.76171875</v>
      </c>
      <c r="X13" s="25">
        <f>O13*'Reference Rates'!$B$28</f>
        <v>1900</v>
      </c>
      <c r="Y13" s="25">
        <f>IF(O13&lt;'Reference Rates'!$B$31,'Reference Rates'!$B$32,'Reference Rates'!$B$33)</f>
        <v>30</v>
      </c>
      <c r="Z13" s="25">
        <f>MIN(MAX(L13,'Reference Rates'!$B$39),'Reference Rates'!$B$40)*'Reference Rates'!$B$38</f>
        <v>472.01953125</v>
      </c>
      <c r="AA13" s="25">
        <f>MIN(L13,'Reference Rates'!$B$46)*'Reference Rates'!$B$45</f>
        <v>200</v>
      </c>
      <c r="AB13" s="26">
        <f t="shared" si="7"/>
        <v>2602.01953125</v>
      </c>
      <c r="AC13" s="27">
        <f t="shared" si="8"/>
        <v>22782.80078125</v>
      </c>
    </row>
    <row r="14" spans="1:29" x14ac:dyDescent="0.35">
      <c r="A14" s="42" t="str">
        <f>'Aug 2026'!A14</f>
        <v>EMP-009</v>
      </c>
      <c r="B14" s="42" t="str">
        <f>IF('Aug 2026'!B14="","",'Aug 2026'!B14)</f>
        <v/>
      </c>
      <c r="C14" s="42" t="str">
        <f>'Aug 2026'!C14</f>
        <v>Store</v>
      </c>
      <c r="D14" s="42" t="str">
        <f>'Aug 2026'!D14</f>
        <v>Sales Clerk</v>
      </c>
      <c r="E14" s="43" t="str">
        <f>'Aug 2026'!E14</f>
        <v>Y</v>
      </c>
      <c r="F14" s="19">
        <f>'Reference Rates'!$E$14</f>
        <v>88.125</v>
      </c>
      <c r="G14" s="20">
        <v>200</v>
      </c>
      <c r="H14" s="20">
        <v>7</v>
      </c>
      <c r="I14" s="20">
        <v>0</v>
      </c>
      <c r="J14" s="21">
        <f t="shared" si="0"/>
        <v>17625</v>
      </c>
      <c r="K14" s="21">
        <f t="shared" si="1"/>
        <v>771.09375</v>
      </c>
      <c r="L14" s="22">
        <f t="shared" si="2"/>
        <v>18396.09375</v>
      </c>
      <c r="M14" s="21">
        <f>'Reference Rates'!$B$19*G14/8</f>
        <v>1250</v>
      </c>
      <c r="N14" s="21">
        <f>I14*IFERROR(INDEX('Reference Rates'!$B$21:$B$22,MATCH(C14,'Reference Rates'!$A$21:$A$22,0)),0)</f>
        <v>0</v>
      </c>
      <c r="O14" s="23">
        <f>MIN('Reference Rates'!$B$30,MAX('Reference Rates'!$B$29,MROUND(L14,500)))</f>
        <v>18500</v>
      </c>
      <c r="P14" s="21">
        <f>O14*'Reference Rates'!$B$27</f>
        <v>925</v>
      </c>
      <c r="Q14" s="21">
        <f>MIN(MAX(L14,'Reference Rates'!$B$39),'Reference Rates'!$B$40)*'Reference Rates'!$B$37</f>
        <v>459.90234375</v>
      </c>
      <c r="R14" s="21">
        <f>MIN(L14,'Reference Rates'!$B$46)*IF(L14&gt;1500,'Reference Rates'!$B$43,'Reference Rates'!$B$44)</f>
        <v>200</v>
      </c>
      <c r="S14" s="22">
        <f t="shared" si="3"/>
        <v>1584.90234375</v>
      </c>
      <c r="T14" s="21">
        <f t="shared" si="4"/>
        <v>0</v>
      </c>
      <c r="U14" s="21">
        <f>IF(T14&lt;='Reference Rates'!$D$51,0,IF(T14&lt;='Reference Rates'!$D$52,'Reference Rates'!$B$51+(T14-'Reference Rates'!$D$51)*'Reference Rates'!$C$51,IF(T14&lt;='Reference Rates'!$D$53,'Reference Rates'!$B$52+(T14-'Reference Rates'!$D$52)*'Reference Rates'!$C$52,IF(T14&lt;='Reference Rates'!$D$54,'Reference Rates'!$B$53+(T14-'Reference Rates'!$D$53)*'Reference Rates'!$C$53,IF(T14&lt;='Reference Rates'!$D$55,'Reference Rates'!$B$54+(T14-'Reference Rates'!$D$54)*'Reference Rates'!$C$54,'Reference Rates'!$B$55+(T14-'Reference Rates'!$D$55)*'Reference Rates'!$C$55)))))</f>
        <v>0</v>
      </c>
      <c r="V14" s="22">
        <f t="shared" si="5"/>
        <v>1584.90234375</v>
      </c>
      <c r="W14" s="24">
        <f t="shared" si="6"/>
        <v>18061.19140625</v>
      </c>
      <c r="X14" s="25">
        <f>O14*'Reference Rates'!$B$28</f>
        <v>1850</v>
      </c>
      <c r="Y14" s="25">
        <f>IF(O14&lt;'Reference Rates'!$B$31,'Reference Rates'!$B$32,'Reference Rates'!$B$33)</f>
        <v>30</v>
      </c>
      <c r="Z14" s="25">
        <f>MIN(MAX(L14,'Reference Rates'!$B$39),'Reference Rates'!$B$40)*'Reference Rates'!$B$38</f>
        <v>459.90234375</v>
      </c>
      <c r="AA14" s="25">
        <f>MIN(L14,'Reference Rates'!$B$46)*'Reference Rates'!$B$45</f>
        <v>200</v>
      </c>
      <c r="AB14" s="26">
        <f t="shared" si="7"/>
        <v>2539.90234375</v>
      </c>
      <c r="AC14" s="27">
        <f t="shared" si="8"/>
        <v>22185.99609375</v>
      </c>
    </row>
    <row r="15" spans="1:29" x14ac:dyDescent="0.35">
      <c r="A15" s="42" t="str">
        <f>'Aug 2026'!A15</f>
        <v>EMP-010</v>
      </c>
      <c r="B15" s="42" t="str">
        <f>IF('Aug 2026'!B15="","",'Aug 2026'!B15)</f>
        <v/>
      </c>
      <c r="C15" s="42" t="str">
        <f>'Aug 2026'!C15</f>
        <v>Store</v>
      </c>
      <c r="D15" s="42" t="str">
        <f>'Aug 2026'!D15</f>
        <v>Section Attendant (Frozen / Egg)</v>
      </c>
      <c r="E15" s="43" t="str">
        <f>'Aug 2026'!E15</f>
        <v>Y</v>
      </c>
      <c r="F15" s="19">
        <f>'Reference Rates'!$E$14</f>
        <v>88.125</v>
      </c>
      <c r="G15" s="20">
        <v>208</v>
      </c>
      <c r="H15" s="20">
        <v>5</v>
      </c>
      <c r="I15" s="20">
        <v>0</v>
      </c>
      <c r="J15" s="21">
        <f t="shared" si="0"/>
        <v>18330</v>
      </c>
      <c r="K15" s="21">
        <f t="shared" si="1"/>
        <v>550.78125</v>
      </c>
      <c r="L15" s="22">
        <f t="shared" si="2"/>
        <v>18880.78125</v>
      </c>
      <c r="M15" s="21">
        <f>'Reference Rates'!$B$19*G15/8</f>
        <v>1300</v>
      </c>
      <c r="N15" s="21">
        <f>I15*IFERROR(INDEX('Reference Rates'!$B$21:$B$22,MATCH(C15,'Reference Rates'!$A$21:$A$22,0)),0)</f>
        <v>0</v>
      </c>
      <c r="O15" s="23">
        <f>MIN('Reference Rates'!$B$30,MAX('Reference Rates'!$B$29,MROUND(L15,500)))</f>
        <v>19000</v>
      </c>
      <c r="P15" s="21">
        <f>O15*'Reference Rates'!$B$27</f>
        <v>950</v>
      </c>
      <c r="Q15" s="21">
        <f>MIN(MAX(L15,'Reference Rates'!$B$39),'Reference Rates'!$B$40)*'Reference Rates'!$B$37</f>
        <v>472.01953125</v>
      </c>
      <c r="R15" s="21">
        <f>MIN(L15,'Reference Rates'!$B$46)*IF(L15&gt;1500,'Reference Rates'!$B$43,'Reference Rates'!$B$44)</f>
        <v>200</v>
      </c>
      <c r="S15" s="22">
        <f t="shared" si="3"/>
        <v>1622.01953125</v>
      </c>
      <c r="T15" s="21">
        <f t="shared" si="4"/>
        <v>0</v>
      </c>
      <c r="U15" s="21">
        <f>IF(T15&lt;='Reference Rates'!$D$51,0,IF(T15&lt;='Reference Rates'!$D$52,'Reference Rates'!$B$51+(T15-'Reference Rates'!$D$51)*'Reference Rates'!$C$51,IF(T15&lt;='Reference Rates'!$D$53,'Reference Rates'!$B$52+(T15-'Reference Rates'!$D$52)*'Reference Rates'!$C$52,IF(T15&lt;='Reference Rates'!$D$54,'Reference Rates'!$B$53+(T15-'Reference Rates'!$D$53)*'Reference Rates'!$C$53,IF(T15&lt;='Reference Rates'!$D$55,'Reference Rates'!$B$54+(T15-'Reference Rates'!$D$54)*'Reference Rates'!$C$54,'Reference Rates'!$B$55+(T15-'Reference Rates'!$D$55)*'Reference Rates'!$C$55)))))</f>
        <v>0</v>
      </c>
      <c r="V15" s="22">
        <f t="shared" si="5"/>
        <v>1622.01953125</v>
      </c>
      <c r="W15" s="24">
        <f t="shared" si="6"/>
        <v>18558.76171875</v>
      </c>
      <c r="X15" s="25">
        <f>O15*'Reference Rates'!$B$28</f>
        <v>1900</v>
      </c>
      <c r="Y15" s="25">
        <f>IF(O15&lt;'Reference Rates'!$B$31,'Reference Rates'!$B$32,'Reference Rates'!$B$33)</f>
        <v>30</v>
      </c>
      <c r="Z15" s="25">
        <f>MIN(MAX(L15,'Reference Rates'!$B$39),'Reference Rates'!$B$40)*'Reference Rates'!$B$38</f>
        <v>472.01953125</v>
      </c>
      <c r="AA15" s="25">
        <f>MIN(L15,'Reference Rates'!$B$46)*'Reference Rates'!$B$45</f>
        <v>200</v>
      </c>
      <c r="AB15" s="26">
        <f t="shared" si="7"/>
        <v>2602.01953125</v>
      </c>
      <c r="AC15" s="27">
        <f t="shared" si="8"/>
        <v>22782.80078125</v>
      </c>
    </row>
    <row r="16" spans="1:29" x14ac:dyDescent="0.35">
      <c r="A16" s="42" t="str">
        <f>'Aug 2026'!A16</f>
        <v>EMP-011</v>
      </c>
      <c r="B16" s="42" t="str">
        <f>IF('Aug 2026'!B16="","",'Aug 2026'!B16)</f>
        <v/>
      </c>
      <c r="C16" s="42" t="str">
        <f>'Aug 2026'!C16</f>
        <v>Store</v>
      </c>
      <c r="D16" s="42" t="str">
        <f>'Aug 2026'!D16</f>
        <v>Section Attendant (Frozen / Egg)</v>
      </c>
      <c r="E16" s="43" t="str">
        <f>'Aug 2026'!E16</f>
        <v>Y</v>
      </c>
      <c r="F16" s="19">
        <f>'Reference Rates'!$E$14</f>
        <v>88.125</v>
      </c>
      <c r="G16" s="20">
        <v>208</v>
      </c>
      <c r="H16" s="20">
        <v>0</v>
      </c>
      <c r="I16" s="20">
        <v>0</v>
      </c>
      <c r="J16" s="21">
        <f t="shared" si="0"/>
        <v>18330</v>
      </c>
      <c r="K16" s="21">
        <f t="shared" si="1"/>
        <v>0</v>
      </c>
      <c r="L16" s="22">
        <f t="shared" si="2"/>
        <v>18330</v>
      </c>
      <c r="M16" s="21">
        <f>'Reference Rates'!$B$19*G16/8</f>
        <v>1300</v>
      </c>
      <c r="N16" s="21">
        <f>I16*IFERROR(INDEX('Reference Rates'!$B$21:$B$22,MATCH(C16,'Reference Rates'!$A$21:$A$22,0)),0)</f>
        <v>0</v>
      </c>
      <c r="O16" s="23">
        <f>MIN('Reference Rates'!$B$30,MAX('Reference Rates'!$B$29,MROUND(L16,500)))</f>
        <v>18500</v>
      </c>
      <c r="P16" s="21">
        <f>O16*'Reference Rates'!$B$27</f>
        <v>925</v>
      </c>
      <c r="Q16" s="21">
        <f>MIN(MAX(L16,'Reference Rates'!$B$39),'Reference Rates'!$B$40)*'Reference Rates'!$B$37</f>
        <v>458.25</v>
      </c>
      <c r="R16" s="21">
        <f>MIN(L16,'Reference Rates'!$B$46)*IF(L16&gt;1500,'Reference Rates'!$B$43,'Reference Rates'!$B$44)</f>
        <v>200</v>
      </c>
      <c r="S16" s="22">
        <f t="shared" si="3"/>
        <v>1583.25</v>
      </c>
      <c r="T16" s="21">
        <f t="shared" si="4"/>
        <v>0</v>
      </c>
      <c r="U16" s="21">
        <f>IF(T16&lt;='Reference Rates'!$D$51,0,IF(T16&lt;='Reference Rates'!$D$52,'Reference Rates'!$B$51+(T16-'Reference Rates'!$D$51)*'Reference Rates'!$C$51,IF(T16&lt;='Reference Rates'!$D$53,'Reference Rates'!$B$52+(T16-'Reference Rates'!$D$52)*'Reference Rates'!$C$52,IF(T16&lt;='Reference Rates'!$D$54,'Reference Rates'!$B$53+(T16-'Reference Rates'!$D$53)*'Reference Rates'!$C$53,IF(T16&lt;='Reference Rates'!$D$55,'Reference Rates'!$B$54+(T16-'Reference Rates'!$D$54)*'Reference Rates'!$C$54,'Reference Rates'!$B$55+(T16-'Reference Rates'!$D$55)*'Reference Rates'!$C$55)))))</f>
        <v>0</v>
      </c>
      <c r="V16" s="22">
        <f t="shared" si="5"/>
        <v>1583.25</v>
      </c>
      <c r="W16" s="24">
        <f t="shared" si="6"/>
        <v>18046.75</v>
      </c>
      <c r="X16" s="25">
        <f>O16*'Reference Rates'!$B$28</f>
        <v>1850</v>
      </c>
      <c r="Y16" s="25">
        <f>IF(O16&lt;'Reference Rates'!$B$31,'Reference Rates'!$B$32,'Reference Rates'!$B$33)</f>
        <v>30</v>
      </c>
      <c r="Z16" s="25">
        <f>MIN(MAX(L16,'Reference Rates'!$B$39),'Reference Rates'!$B$40)*'Reference Rates'!$B$38</f>
        <v>458.25</v>
      </c>
      <c r="AA16" s="25">
        <f>MIN(L16,'Reference Rates'!$B$46)*'Reference Rates'!$B$45</f>
        <v>200</v>
      </c>
      <c r="AB16" s="26">
        <f t="shared" si="7"/>
        <v>2538.25</v>
      </c>
      <c r="AC16" s="27">
        <f t="shared" si="8"/>
        <v>22168.25</v>
      </c>
    </row>
    <row r="17" spans="1:29" x14ac:dyDescent="0.35">
      <c r="A17" s="42" t="str">
        <f>'Aug 2026'!A17</f>
        <v>EMP-012</v>
      </c>
      <c r="B17" s="42" t="str">
        <f>IF('Aug 2026'!B17="","",'Aug 2026'!B17)</f>
        <v/>
      </c>
      <c r="C17" s="42" t="str">
        <f>'Aug 2026'!C17</f>
        <v>Store</v>
      </c>
      <c r="D17" s="42" t="str">
        <f>'Aug 2026'!D17</f>
        <v>Section Attendant (Frozen / Egg)</v>
      </c>
      <c r="E17" s="43" t="str">
        <f>'Aug 2026'!E17</f>
        <v>Y</v>
      </c>
      <c r="F17" s="19">
        <f>'Reference Rates'!$E$14</f>
        <v>88.125</v>
      </c>
      <c r="G17" s="20">
        <v>208</v>
      </c>
      <c r="H17" s="20">
        <v>0</v>
      </c>
      <c r="I17" s="20">
        <v>0</v>
      </c>
      <c r="J17" s="21">
        <f t="shared" si="0"/>
        <v>18330</v>
      </c>
      <c r="K17" s="21">
        <f t="shared" si="1"/>
        <v>0</v>
      </c>
      <c r="L17" s="22">
        <f t="shared" si="2"/>
        <v>18330</v>
      </c>
      <c r="M17" s="21">
        <f>'Reference Rates'!$B$19*G17/8</f>
        <v>1300</v>
      </c>
      <c r="N17" s="21">
        <f>I17*IFERROR(INDEX('Reference Rates'!$B$21:$B$22,MATCH(C17,'Reference Rates'!$A$21:$A$22,0)),0)</f>
        <v>0</v>
      </c>
      <c r="O17" s="23">
        <f>MIN('Reference Rates'!$B$30,MAX('Reference Rates'!$B$29,MROUND(L17,500)))</f>
        <v>18500</v>
      </c>
      <c r="P17" s="21">
        <f>O17*'Reference Rates'!$B$27</f>
        <v>925</v>
      </c>
      <c r="Q17" s="21">
        <f>MIN(MAX(L17,'Reference Rates'!$B$39),'Reference Rates'!$B$40)*'Reference Rates'!$B$37</f>
        <v>458.25</v>
      </c>
      <c r="R17" s="21">
        <f>MIN(L17,'Reference Rates'!$B$46)*IF(L17&gt;1500,'Reference Rates'!$B$43,'Reference Rates'!$B$44)</f>
        <v>200</v>
      </c>
      <c r="S17" s="22">
        <f t="shared" si="3"/>
        <v>1583.25</v>
      </c>
      <c r="T17" s="21">
        <f t="shared" si="4"/>
        <v>0</v>
      </c>
      <c r="U17" s="21">
        <f>IF(T17&lt;='Reference Rates'!$D$51,0,IF(T17&lt;='Reference Rates'!$D$52,'Reference Rates'!$B$51+(T17-'Reference Rates'!$D$51)*'Reference Rates'!$C$51,IF(T17&lt;='Reference Rates'!$D$53,'Reference Rates'!$B$52+(T17-'Reference Rates'!$D$52)*'Reference Rates'!$C$52,IF(T17&lt;='Reference Rates'!$D$54,'Reference Rates'!$B$53+(T17-'Reference Rates'!$D$53)*'Reference Rates'!$C$53,IF(T17&lt;='Reference Rates'!$D$55,'Reference Rates'!$B$54+(T17-'Reference Rates'!$D$54)*'Reference Rates'!$C$54,'Reference Rates'!$B$55+(T17-'Reference Rates'!$D$55)*'Reference Rates'!$C$55)))))</f>
        <v>0</v>
      </c>
      <c r="V17" s="22">
        <f t="shared" si="5"/>
        <v>1583.25</v>
      </c>
      <c r="W17" s="24">
        <f t="shared" si="6"/>
        <v>18046.75</v>
      </c>
      <c r="X17" s="25">
        <f>O17*'Reference Rates'!$B$28</f>
        <v>1850</v>
      </c>
      <c r="Y17" s="25">
        <f>IF(O17&lt;'Reference Rates'!$B$31,'Reference Rates'!$B$32,'Reference Rates'!$B$33)</f>
        <v>30</v>
      </c>
      <c r="Z17" s="25">
        <f>MIN(MAX(L17,'Reference Rates'!$B$39),'Reference Rates'!$B$40)*'Reference Rates'!$B$38</f>
        <v>458.25</v>
      </c>
      <c r="AA17" s="25">
        <f>MIN(L17,'Reference Rates'!$B$46)*'Reference Rates'!$B$45</f>
        <v>200</v>
      </c>
      <c r="AB17" s="26">
        <f t="shared" si="7"/>
        <v>2538.25</v>
      </c>
      <c r="AC17" s="27">
        <f t="shared" si="8"/>
        <v>22168.25</v>
      </c>
    </row>
    <row r="18" spans="1:29" x14ac:dyDescent="0.35">
      <c r="A18" s="42" t="str">
        <f>'Aug 2026'!A18</f>
        <v>EMP-013</v>
      </c>
      <c r="B18" s="42" t="str">
        <f>IF('Aug 2026'!B18="","",'Aug 2026'!B18)</f>
        <v>John Carlo Escartin</v>
      </c>
      <c r="C18" s="42" t="str">
        <f>'Aug 2026'!C18</f>
        <v>Warehouse</v>
      </c>
      <c r="D18" s="42" t="str">
        <f>'Aug 2026'!D18</f>
        <v>Stock Clerk</v>
      </c>
      <c r="E18" s="43" t="str">
        <f>'Aug 2026'!E18</f>
        <v>Y</v>
      </c>
      <c r="F18" s="19">
        <f>'Reference Rates'!$E$14</f>
        <v>88.125</v>
      </c>
      <c r="G18" s="20">
        <v>208</v>
      </c>
      <c r="H18" s="20">
        <v>0</v>
      </c>
      <c r="I18" s="20">
        <v>0</v>
      </c>
      <c r="J18" s="21">
        <f t="shared" si="0"/>
        <v>18330</v>
      </c>
      <c r="K18" s="21">
        <f t="shared" si="1"/>
        <v>0</v>
      </c>
      <c r="L18" s="22">
        <f t="shared" si="2"/>
        <v>18330</v>
      </c>
      <c r="M18" s="21">
        <f>'Reference Rates'!$B$19*G18/8</f>
        <v>1300</v>
      </c>
      <c r="N18" s="21">
        <f>I18*IFERROR(INDEX('Reference Rates'!$B$21:$B$22,MATCH(C18,'Reference Rates'!$A$21:$A$22,0)),0)</f>
        <v>0</v>
      </c>
      <c r="O18" s="23">
        <f>MIN('Reference Rates'!$B$30,MAX('Reference Rates'!$B$29,MROUND(L18,500)))</f>
        <v>18500</v>
      </c>
      <c r="P18" s="21">
        <f>O18*'Reference Rates'!$B$27</f>
        <v>925</v>
      </c>
      <c r="Q18" s="21">
        <f>MIN(MAX(L18,'Reference Rates'!$B$39),'Reference Rates'!$B$40)*'Reference Rates'!$B$37</f>
        <v>458.25</v>
      </c>
      <c r="R18" s="21">
        <f>MIN(L18,'Reference Rates'!$B$46)*IF(L18&gt;1500,'Reference Rates'!$B$43,'Reference Rates'!$B$44)</f>
        <v>200</v>
      </c>
      <c r="S18" s="22">
        <f t="shared" si="3"/>
        <v>1583.25</v>
      </c>
      <c r="T18" s="21">
        <f t="shared" si="4"/>
        <v>0</v>
      </c>
      <c r="U18" s="21">
        <f>IF(T18&lt;='Reference Rates'!$D$51,0,IF(T18&lt;='Reference Rates'!$D$52,'Reference Rates'!$B$51+(T18-'Reference Rates'!$D$51)*'Reference Rates'!$C$51,IF(T18&lt;='Reference Rates'!$D$53,'Reference Rates'!$B$52+(T18-'Reference Rates'!$D$52)*'Reference Rates'!$C$52,IF(T18&lt;='Reference Rates'!$D$54,'Reference Rates'!$B$53+(T18-'Reference Rates'!$D$53)*'Reference Rates'!$C$53,IF(T18&lt;='Reference Rates'!$D$55,'Reference Rates'!$B$54+(T18-'Reference Rates'!$D$54)*'Reference Rates'!$C$54,'Reference Rates'!$B$55+(T18-'Reference Rates'!$D$55)*'Reference Rates'!$C$55)))))</f>
        <v>0</v>
      </c>
      <c r="V18" s="22">
        <f t="shared" si="5"/>
        <v>1583.25</v>
      </c>
      <c r="W18" s="24">
        <f t="shared" si="6"/>
        <v>18046.75</v>
      </c>
      <c r="X18" s="25">
        <f>O18*'Reference Rates'!$B$28</f>
        <v>1850</v>
      </c>
      <c r="Y18" s="25">
        <f>IF(O18&lt;'Reference Rates'!$B$31,'Reference Rates'!$B$32,'Reference Rates'!$B$33)</f>
        <v>30</v>
      </c>
      <c r="Z18" s="25">
        <f>MIN(MAX(L18,'Reference Rates'!$B$39),'Reference Rates'!$B$40)*'Reference Rates'!$B$38</f>
        <v>458.25</v>
      </c>
      <c r="AA18" s="25">
        <f>MIN(L18,'Reference Rates'!$B$46)*'Reference Rates'!$B$45</f>
        <v>200</v>
      </c>
      <c r="AB18" s="26">
        <f t="shared" si="7"/>
        <v>2538.25</v>
      </c>
      <c r="AC18" s="27">
        <f t="shared" si="8"/>
        <v>22168.25</v>
      </c>
    </row>
    <row r="19" spans="1:29" x14ac:dyDescent="0.35">
      <c r="A19" s="42" t="str">
        <f>'Aug 2026'!A19</f>
        <v>EMP-014</v>
      </c>
      <c r="B19" s="42" t="str">
        <f>IF('Aug 2026'!B19="","",'Aug 2026'!B19)</f>
        <v/>
      </c>
      <c r="C19" s="42" t="str">
        <f>'Aug 2026'!C19</f>
        <v>Warehouse</v>
      </c>
      <c r="D19" s="42" t="str">
        <f>'Aug 2026'!D19</f>
        <v>Stock Clerk</v>
      </c>
      <c r="E19" s="43" t="str">
        <f>'Aug 2026'!E19</f>
        <v>Y</v>
      </c>
      <c r="F19" s="19">
        <f>'Reference Rates'!$E$14</f>
        <v>88.125</v>
      </c>
      <c r="G19" s="20">
        <v>208</v>
      </c>
      <c r="H19" s="20">
        <v>5</v>
      </c>
      <c r="I19" s="20">
        <v>0</v>
      </c>
      <c r="J19" s="21">
        <f t="shared" si="0"/>
        <v>18330</v>
      </c>
      <c r="K19" s="21">
        <f t="shared" si="1"/>
        <v>550.78125</v>
      </c>
      <c r="L19" s="22">
        <f t="shared" si="2"/>
        <v>18880.78125</v>
      </c>
      <c r="M19" s="21">
        <f>'Reference Rates'!$B$19*G19/8</f>
        <v>1300</v>
      </c>
      <c r="N19" s="21">
        <f>I19*IFERROR(INDEX('Reference Rates'!$B$21:$B$22,MATCH(C19,'Reference Rates'!$A$21:$A$22,0)),0)</f>
        <v>0</v>
      </c>
      <c r="O19" s="23">
        <f>MIN('Reference Rates'!$B$30,MAX('Reference Rates'!$B$29,MROUND(L19,500)))</f>
        <v>19000</v>
      </c>
      <c r="P19" s="21">
        <f>O19*'Reference Rates'!$B$27</f>
        <v>950</v>
      </c>
      <c r="Q19" s="21">
        <f>MIN(MAX(L19,'Reference Rates'!$B$39),'Reference Rates'!$B$40)*'Reference Rates'!$B$37</f>
        <v>472.01953125</v>
      </c>
      <c r="R19" s="21">
        <f>MIN(L19,'Reference Rates'!$B$46)*IF(L19&gt;1500,'Reference Rates'!$B$43,'Reference Rates'!$B$44)</f>
        <v>200</v>
      </c>
      <c r="S19" s="22">
        <f t="shared" si="3"/>
        <v>1622.01953125</v>
      </c>
      <c r="T19" s="21">
        <f t="shared" si="4"/>
        <v>0</v>
      </c>
      <c r="U19" s="21">
        <f>IF(T19&lt;='Reference Rates'!$D$51,0,IF(T19&lt;='Reference Rates'!$D$52,'Reference Rates'!$B$51+(T19-'Reference Rates'!$D$51)*'Reference Rates'!$C$51,IF(T19&lt;='Reference Rates'!$D$53,'Reference Rates'!$B$52+(T19-'Reference Rates'!$D$52)*'Reference Rates'!$C$52,IF(T19&lt;='Reference Rates'!$D$54,'Reference Rates'!$B$53+(T19-'Reference Rates'!$D$53)*'Reference Rates'!$C$53,IF(T19&lt;='Reference Rates'!$D$55,'Reference Rates'!$B$54+(T19-'Reference Rates'!$D$54)*'Reference Rates'!$C$54,'Reference Rates'!$B$55+(T19-'Reference Rates'!$D$55)*'Reference Rates'!$C$55)))))</f>
        <v>0</v>
      </c>
      <c r="V19" s="22">
        <f t="shared" si="5"/>
        <v>1622.01953125</v>
      </c>
      <c r="W19" s="24">
        <f t="shared" si="6"/>
        <v>18558.76171875</v>
      </c>
      <c r="X19" s="25">
        <f>O19*'Reference Rates'!$B$28</f>
        <v>1900</v>
      </c>
      <c r="Y19" s="25">
        <f>IF(O19&lt;'Reference Rates'!$B$31,'Reference Rates'!$B$32,'Reference Rates'!$B$33)</f>
        <v>30</v>
      </c>
      <c r="Z19" s="25">
        <f>MIN(MAX(L19,'Reference Rates'!$B$39),'Reference Rates'!$B$40)*'Reference Rates'!$B$38</f>
        <v>472.01953125</v>
      </c>
      <c r="AA19" s="25">
        <f>MIN(L19,'Reference Rates'!$B$46)*'Reference Rates'!$B$45</f>
        <v>200</v>
      </c>
      <c r="AB19" s="26">
        <f t="shared" si="7"/>
        <v>2602.01953125</v>
      </c>
      <c r="AC19" s="27">
        <f t="shared" si="8"/>
        <v>22782.80078125</v>
      </c>
    </row>
    <row r="20" spans="1:29" x14ac:dyDescent="0.35">
      <c r="A20" s="42" t="str">
        <f>'Aug 2026'!A20</f>
        <v>EMP-015</v>
      </c>
      <c r="B20" s="42" t="str">
        <f>IF('Aug 2026'!B20="","",'Aug 2026'!B20)</f>
        <v/>
      </c>
      <c r="C20" s="42" t="str">
        <f>'Aug 2026'!C20</f>
        <v>Warehouse</v>
      </c>
      <c r="D20" s="42" t="str">
        <f>'Aug 2026'!D20</f>
        <v>Stock Clerk</v>
      </c>
      <c r="E20" s="43" t="str">
        <f>'Aug 2026'!E20</f>
        <v>Y</v>
      </c>
      <c r="F20" s="19">
        <f>'Reference Rates'!$E$14</f>
        <v>88.125</v>
      </c>
      <c r="G20" s="20">
        <v>208</v>
      </c>
      <c r="H20" s="20">
        <v>11</v>
      </c>
      <c r="I20" s="20">
        <v>0</v>
      </c>
      <c r="J20" s="21">
        <f t="shared" si="0"/>
        <v>18330</v>
      </c>
      <c r="K20" s="21">
        <f t="shared" si="1"/>
        <v>1211.71875</v>
      </c>
      <c r="L20" s="22">
        <f t="shared" si="2"/>
        <v>19541.71875</v>
      </c>
      <c r="M20" s="21">
        <f>'Reference Rates'!$B$19*G20/8</f>
        <v>1300</v>
      </c>
      <c r="N20" s="21">
        <f>I20*IFERROR(INDEX('Reference Rates'!$B$21:$B$22,MATCH(C20,'Reference Rates'!$A$21:$A$22,0)),0)</f>
        <v>0</v>
      </c>
      <c r="O20" s="23">
        <f>MIN('Reference Rates'!$B$30,MAX('Reference Rates'!$B$29,MROUND(L20,500)))</f>
        <v>19500</v>
      </c>
      <c r="P20" s="21">
        <f>O20*'Reference Rates'!$B$27</f>
        <v>975</v>
      </c>
      <c r="Q20" s="21">
        <f>MIN(MAX(L20,'Reference Rates'!$B$39),'Reference Rates'!$B$40)*'Reference Rates'!$B$37</f>
        <v>488.54296875</v>
      </c>
      <c r="R20" s="21">
        <f>MIN(L20,'Reference Rates'!$B$46)*IF(L20&gt;1500,'Reference Rates'!$B$43,'Reference Rates'!$B$44)</f>
        <v>200</v>
      </c>
      <c r="S20" s="22">
        <f t="shared" si="3"/>
        <v>1663.54296875</v>
      </c>
      <c r="T20" s="21">
        <f t="shared" si="4"/>
        <v>0</v>
      </c>
      <c r="U20" s="21">
        <f>IF(T20&lt;='Reference Rates'!$D$51,0,IF(T20&lt;='Reference Rates'!$D$52,'Reference Rates'!$B$51+(T20-'Reference Rates'!$D$51)*'Reference Rates'!$C$51,IF(T20&lt;='Reference Rates'!$D$53,'Reference Rates'!$B$52+(T20-'Reference Rates'!$D$52)*'Reference Rates'!$C$52,IF(T20&lt;='Reference Rates'!$D$54,'Reference Rates'!$B$53+(T20-'Reference Rates'!$D$53)*'Reference Rates'!$C$53,IF(T20&lt;='Reference Rates'!$D$55,'Reference Rates'!$B$54+(T20-'Reference Rates'!$D$54)*'Reference Rates'!$C$54,'Reference Rates'!$B$55+(T20-'Reference Rates'!$D$55)*'Reference Rates'!$C$55)))))</f>
        <v>0</v>
      </c>
      <c r="V20" s="22">
        <f t="shared" si="5"/>
        <v>1663.54296875</v>
      </c>
      <c r="W20" s="24">
        <f t="shared" si="6"/>
        <v>19178.17578125</v>
      </c>
      <c r="X20" s="25">
        <f>O20*'Reference Rates'!$B$28</f>
        <v>1950</v>
      </c>
      <c r="Y20" s="25">
        <f>IF(O20&lt;'Reference Rates'!$B$31,'Reference Rates'!$B$32,'Reference Rates'!$B$33)</f>
        <v>30</v>
      </c>
      <c r="Z20" s="25">
        <f>MIN(MAX(L20,'Reference Rates'!$B$39),'Reference Rates'!$B$40)*'Reference Rates'!$B$38</f>
        <v>488.54296875</v>
      </c>
      <c r="AA20" s="25">
        <f>MIN(L20,'Reference Rates'!$B$46)*'Reference Rates'!$B$45</f>
        <v>200</v>
      </c>
      <c r="AB20" s="26">
        <f t="shared" si="7"/>
        <v>2668.54296875</v>
      </c>
      <c r="AC20" s="27">
        <f t="shared" si="8"/>
        <v>23510.26171875</v>
      </c>
    </row>
    <row r="21" spans="1:29" x14ac:dyDescent="0.35">
      <c r="A21" s="42" t="str">
        <f>'Aug 2026'!A21</f>
        <v>EMP-016</v>
      </c>
      <c r="B21" s="42" t="str">
        <f>IF('Aug 2026'!B21="","",'Aug 2026'!B21)</f>
        <v/>
      </c>
      <c r="C21" s="42" t="str">
        <f>'Aug 2026'!C21</f>
        <v>Warehouse</v>
      </c>
      <c r="D21" s="42" t="str">
        <f>'Aug 2026'!D21</f>
        <v>Warehouse Helper / Loader</v>
      </c>
      <c r="E21" s="43" t="str">
        <f>'Aug 2026'!E21</f>
        <v>Y</v>
      </c>
      <c r="F21" s="19">
        <f>'Reference Rates'!$E$14</f>
        <v>88.125</v>
      </c>
      <c r="G21" s="20">
        <v>208</v>
      </c>
      <c r="H21" s="20">
        <v>0</v>
      </c>
      <c r="I21" s="20">
        <v>0</v>
      </c>
      <c r="J21" s="21">
        <f t="shared" si="0"/>
        <v>18330</v>
      </c>
      <c r="K21" s="21">
        <f t="shared" si="1"/>
        <v>0</v>
      </c>
      <c r="L21" s="22">
        <f t="shared" si="2"/>
        <v>18330</v>
      </c>
      <c r="M21" s="21">
        <f>'Reference Rates'!$B$19*G21/8</f>
        <v>1300</v>
      </c>
      <c r="N21" s="21">
        <f>I21*IFERROR(INDEX('Reference Rates'!$B$21:$B$22,MATCH(C21,'Reference Rates'!$A$21:$A$22,0)),0)</f>
        <v>0</v>
      </c>
      <c r="O21" s="23">
        <f>MIN('Reference Rates'!$B$30,MAX('Reference Rates'!$B$29,MROUND(L21,500)))</f>
        <v>18500</v>
      </c>
      <c r="P21" s="21">
        <f>O21*'Reference Rates'!$B$27</f>
        <v>925</v>
      </c>
      <c r="Q21" s="21">
        <f>MIN(MAX(L21,'Reference Rates'!$B$39),'Reference Rates'!$B$40)*'Reference Rates'!$B$37</f>
        <v>458.25</v>
      </c>
      <c r="R21" s="21">
        <f>MIN(L21,'Reference Rates'!$B$46)*IF(L21&gt;1500,'Reference Rates'!$B$43,'Reference Rates'!$B$44)</f>
        <v>200</v>
      </c>
      <c r="S21" s="22">
        <f t="shared" si="3"/>
        <v>1583.25</v>
      </c>
      <c r="T21" s="21">
        <f t="shared" si="4"/>
        <v>0</v>
      </c>
      <c r="U21" s="21">
        <f>IF(T21&lt;='Reference Rates'!$D$51,0,IF(T21&lt;='Reference Rates'!$D$52,'Reference Rates'!$B$51+(T21-'Reference Rates'!$D$51)*'Reference Rates'!$C$51,IF(T21&lt;='Reference Rates'!$D$53,'Reference Rates'!$B$52+(T21-'Reference Rates'!$D$52)*'Reference Rates'!$C$52,IF(T21&lt;='Reference Rates'!$D$54,'Reference Rates'!$B$53+(T21-'Reference Rates'!$D$53)*'Reference Rates'!$C$53,IF(T21&lt;='Reference Rates'!$D$55,'Reference Rates'!$B$54+(T21-'Reference Rates'!$D$54)*'Reference Rates'!$C$54,'Reference Rates'!$B$55+(T21-'Reference Rates'!$D$55)*'Reference Rates'!$C$55)))))</f>
        <v>0</v>
      </c>
      <c r="V21" s="22">
        <f t="shared" si="5"/>
        <v>1583.25</v>
      </c>
      <c r="W21" s="24">
        <f t="shared" si="6"/>
        <v>18046.75</v>
      </c>
      <c r="X21" s="25">
        <f>O21*'Reference Rates'!$B$28</f>
        <v>1850</v>
      </c>
      <c r="Y21" s="25">
        <f>IF(O21&lt;'Reference Rates'!$B$31,'Reference Rates'!$B$32,'Reference Rates'!$B$33)</f>
        <v>30</v>
      </c>
      <c r="Z21" s="25">
        <f>MIN(MAX(L21,'Reference Rates'!$B$39),'Reference Rates'!$B$40)*'Reference Rates'!$B$38</f>
        <v>458.25</v>
      </c>
      <c r="AA21" s="25">
        <f>MIN(L21,'Reference Rates'!$B$46)*'Reference Rates'!$B$45</f>
        <v>200</v>
      </c>
      <c r="AB21" s="26">
        <f t="shared" si="7"/>
        <v>2538.25</v>
      </c>
      <c r="AC21" s="27">
        <f t="shared" si="8"/>
        <v>22168.25</v>
      </c>
    </row>
    <row r="22" spans="1:29" x14ac:dyDescent="0.35">
      <c r="A22" s="42" t="str">
        <f>'Aug 2026'!A22</f>
        <v>EMP-017</v>
      </c>
      <c r="B22" s="42" t="str">
        <f>IF('Aug 2026'!B22="","",'Aug 2026'!B22)</f>
        <v/>
      </c>
      <c r="C22" s="42" t="str">
        <f>'Aug 2026'!C22</f>
        <v>Warehouse</v>
      </c>
      <c r="D22" s="42" t="str">
        <f>'Aug 2026'!D22</f>
        <v>Warehouse Helper / Loader</v>
      </c>
      <c r="E22" s="43" t="str">
        <f>'Aug 2026'!E22</f>
        <v>Y</v>
      </c>
      <c r="F22" s="19">
        <f>'Reference Rates'!$E$14</f>
        <v>88.125</v>
      </c>
      <c r="G22" s="20">
        <v>208</v>
      </c>
      <c r="H22" s="20">
        <v>0</v>
      </c>
      <c r="I22" s="20">
        <v>0</v>
      </c>
      <c r="J22" s="21">
        <f t="shared" si="0"/>
        <v>18330</v>
      </c>
      <c r="K22" s="21">
        <f t="shared" si="1"/>
        <v>0</v>
      </c>
      <c r="L22" s="22">
        <f t="shared" si="2"/>
        <v>18330</v>
      </c>
      <c r="M22" s="21">
        <f>'Reference Rates'!$B$19*G22/8</f>
        <v>1300</v>
      </c>
      <c r="N22" s="21">
        <f>I22*IFERROR(INDEX('Reference Rates'!$B$21:$B$22,MATCH(C22,'Reference Rates'!$A$21:$A$22,0)),0)</f>
        <v>0</v>
      </c>
      <c r="O22" s="23">
        <f>MIN('Reference Rates'!$B$30,MAX('Reference Rates'!$B$29,MROUND(L22,500)))</f>
        <v>18500</v>
      </c>
      <c r="P22" s="21">
        <f>O22*'Reference Rates'!$B$27</f>
        <v>925</v>
      </c>
      <c r="Q22" s="21">
        <f>MIN(MAX(L22,'Reference Rates'!$B$39),'Reference Rates'!$B$40)*'Reference Rates'!$B$37</f>
        <v>458.25</v>
      </c>
      <c r="R22" s="21">
        <f>MIN(L22,'Reference Rates'!$B$46)*IF(L22&gt;1500,'Reference Rates'!$B$43,'Reference Rates'!$B$44)</f>
        <v>200</v>
      </c>
      <c r="S22" s="22">
        <f t="shared" si="3"/>
        <v>1583.25</v>
      </c>
      <c r="T22" s="21">
        <f t="shared" si="4"/>
        <v>0</v>
      </c>
      <c r="U22" s="21">
        <f>IF(T22&lt;='Reference Rates'!$D$51,0,IF(T22&lt;='Reference Rates'!$D$52,'Reference Rates'!$B$51+(T22-'Reference Rates'!$D$51)*'Reference Rates'!$C$51,IF(T22&lt;='Reference Rates'!$D$53,'Reference Rates'!$B$52+(T22-'Reference Rates'!$D$52)*'Reference Rates'!$C$52,IF(T22&lt;='Reference Rates'!$D$54,'Reference Rates'!$B$53+(T22-'Reference Rates'!$D$53)*'Reference Rates'!$C$53,IF(T22&lt;='Reference Rates'!$D$55,'Reference Rates'!$B$54+(T22-'Reference Rates'!$D$54)*'Reference Rates'!$C$54,'Reference Rates'!$B$55+(T22-'Reference Rates'!$D$55)*'Reference Rates'!$C$55)))))</f>
        <v>0</v>
      </c>
      <c r="V22" s="22">
        <f t="shared" si="5"/>
        <v>1583.25</v>
      </c>
      <c r="W22" s="24">
        <f t="shared" si="6"/>
        <v>18046.75</v>
      </c>
      <c r="X22" s="25">
        <f>O22*'Reference Rates'!$B$28</f>
        <v>1850</v>
      </c>
      <c r="Y22" s="25">
        <f>IF(O22&lt;'Reference Rates'!$B$31,'Reference Rates'!$B$32,'Reference Rates'!$B$33)</f>
        <v>30</v>
      </c>
      <c r="Z22" s="25">
        <f>MIN(MAX(L22,'Reference Rates'!$B$39),'Reference Rates'!$B$40)*'Reference Rates'!$B$38</f>
        <v>458.25</v>
      </c>
      <c r="AA22" s="25">
        <f>MIN(L22,'Reference Rates'!$B$46)*'Reference Rates'!$B$45</f>
        <v>200</v>
      </c>
      <c r="AB22" s="26">
        <f t="shared" si="7"/>
        <v>2538.25</v>
      </c>
      <c r="AC22" s="27">
        <f t="shared" si="8"/>
        <v>22168.25</v>
      </c>
    </row>
    <row r="23" spans="1:29" x14ac:dyDescent="0.35">
      <c r="A23" s="42" t="str">
        <f>'Aug 2026'!A23</f>
        <v>EMP-018</v>
      </c>
      <c r="B23" s="42" t="str">
        <f>IF('Aug 2026'!B23="","",'Aug 2026'!B23)</f>
        <v/>
      </c>
      <c r="C23" s="42" t="str">
        <f>'Aug 2026'!C23</f>
        <v>Warehouse</v>
      </c>
      <c r="D23" s="42" t="str">
        <f>'Aug 2026'!D23</f>
        <v>Warehouse Helper / Loader</v>
      </c>
      <c r="E23" s="43" t="str">
        <f>'Aug 2026'!E23</f>
        <v>Y</v>
      </c>
      <c r="F23" s="19">
        <f>'Reference Rates'!$E$14</f>
        <v>88.125</v>
      </c>
      <c r="G23" s="20">
        <v>208</v>
      </c>
      <c r="H23" s="20">
        <v>4</v>
      </c>
      <c r="I23" s="20">
        <v>0</v>
      </c>
      <c r="J23" s="21">
        <f t="shared" si="0"/>
        <v>18330</v>
      </c>
      <c r="K23" s="21">
        <f t="shared" si="1"/>
        <v>440.625</v>
      </c>
      <c r="L23" s="22">
        <f t="shared" si="2"/>
        <v>18770.625</v>
      </c>
      <c r="M23" s="21">
        <f>'Reference Rates'!$B$19*G23/8</f>
        <v>1300</v>
      </c>
      <c r="N23" s="21">
        <f>I23*IFERROR(INDEX('Reference Rates'!$B$21:$B$22,MATCH(C23,'Reference Rates'!$A$21:$A$22,0)),0)</f>
        <v>0</v>
      </c>
      <c r="O23" s="23">
        <f>MIN('Reference Rates'!$B$30,MAX('Reference Rates'!$B$29,MROUND(L23,500)))</f>
        <v>19000</v>
      </c>
      <c r="P23" s="21">
        <f>O23*'Reference Rates'!$B$27</f>
        <v>950</v>
      </c>
      <c r="Q23" s="21">
        <f>MIN(MAX(L23,'Reference Rates'!$B$39),'Reference Rates'!$B$40)*'Reference Rates'!$B$37</f>
        <v>469.265625</v>
      </c>
      <c r="R23" s="21">
        <f>MIN(L23,'Reference Rates'!$B$46)*IF(L23&gt;1500,'Reference Rates'!$B$43,'Reference Rates'!$B$44)</f>
        <v>200</v>
      </c>
      <c r="S23" s="22">
        <f t="shared" si="3"/>
        <v>1619.265625</v>
      </c>
      <c r="T23" s="21">
        <f t="shared" si="4"/>
        <v>0</v>
      </c>
      <c r="U23" s="21">
        <f>IF(T23&lt;='Reference Rates'!$D$51,0,IF(T23&lt;='Reference Rates'!$D$52,'Reference Rates'!$B$51+(T23-'Reference Rates'!$D$51)*'Reference Rates'!$C$51,IF(T23&lt;='Reference Rates'!$D$53,'Reference Rates'!$B$52+(T23-'Reference Rates'!$D$52)*'Reference Rates'!$C$52,IF(T23&lt;='Reference Rates'!$D$54,'Reference Rates'!$B$53+(T23-'Reference Rates'!$D$53)*'Reference Rates'!$C$53,IF(T23&lt;='Reference Rates'!$D$55,'Reference Rates'!$B$54+(T23-'Reference Rates'!$D$54)*'Reference Rates'!$C$54,'Reference Rates'!$B$55+(T23-'Reference Rates'!$D$55)*'Reference Rates'!$C$55)))))</f>
        <v>0</v>
      </c>
      <c r="V23" s="22">
        <f t="shared" si="5"/>
        <v>1619.265625</v>
      </c>
      <c r="W23" s="24">
        <f t="shared" si="6"/>
        <v>18451.359375</v>
      </c>
      <c r="X23" s="25">
        <f>O23*'Reference Rates'!$B$28</f>
        <v>1900</v>
      </c>
      <c r="Y23" s="25">
        <f>IF(O23&lt;'Reference Rates'!$B$31,'Reference Rates'!$B$32,'Reference Rates'!$B$33)</f>
        <v>30</v>
      </c>
      <c r="Z23" s="25">
        <f>MIN(MAX(L23,'Reference Rates'!$B$39),'Reference Rates'!$B$40)*'Reference Rates'!$B$38</f>
        <v>469.265625</v>
      </c>
      <c r="AA23" s="25">
        <f>MIN(L23,'Reference Rates'!$B$46)*'Reference Rates'!$B$45</f>
        <v>200</v>
      </c>
      <c r="AB23" s="26">
        <f t="shared" si="7"/>
        <v>2599.265625</v>
      </c>
      <c r="AC23" s="27">
        <f t="shared" si="8"/>
        <v>22669.890625</v>
      </c>
    </row>
    <row r="24" spans="1:29" x14ac:dyDescent="0.35">
      <c r="A24" s="42" t="str">
        <f>'Aug 2026'!A24</f>
        <v>EMP-019</v>
      </c>
      <c r="B24" s="42" t="str">
        <f>IF('Aug 2026'!B24="","",'Aug 2026'!B24)</f>
        <v/>
      </c>
      <c r="C24" s="42" t="str">
        <f>'Aug 2026'!C24</f>
        <v>Warehouse</v>
      </c>
      <c r="D24" s="42" t="str">
        <f>'Aug 2026'!D24</f>
        <v>Inventory Clerk</v>
      </c>
      <c r="E24" s="43" t="str">
        <f>'Aug 2026'!E24</f>
        <v>Y</v>
      </c>
      <c r="F24" s="19">
        <f>'Reference Rates'!$E$14</f>
        <v>88.125</v>
      </c>
      <c r="G24" s="20">
        <v>208</v>
      </c>
      <c r="H24" s="20">
        <v>13</v>
      </c>
      <c r="I24" s="20">
        <v>0</v>
      </c>
      <c r="J24" s="21">
        <f t="shared" si="0"/>
        <v>18330</v>
      </c>
      <c r="K24" s="21">
        <f t="shared" si="1"/>
        <v>1432.03125</v>
      </c>
      <c r="L24" s="22">
        <f t="shared" si="2"/>
        <v>19762.03125</v>
      </c>
      <c r="M24" s="21">
        <f>'Reference Rates'!$B$19*G24/8</f>
        <v>1300</v>
      </c>
      <c r="N24" s="21">
        <f>I24*IFERROR(INDEX('Reference Rates'!$B$21:$B$22,MATCH(C24,'Reference Rates'!$A$21:$A$22,0)),0)</f>
        <v>0</v>
      </c>
      <c r="O24" s="23">
        <f>MIN('Reference Rates'!$B$30,MAX('Reference Rates'!$B$29,MROUND(L24,500)))</f>
        <v>20000</v>
      </c>
      <c r="P24" s="21">
        <f>O24*'Reference Rates'!$B$27</f>
        <v>1000</v>
      </c>
      <c r="Q24" s="21">
        <f>MIN(MAX(L24,'Reference Rates'!$B$39),'Reference Rates'!$B$40)*'Reference Rates'!$B$37</f>
        <v>494.05078125</v>
      </c>
      <c r="R24" s="21">
        <f>MIN(L24,'Reference Rates'!$B$46)*IF(L24&gt;1500,'Reference Rates'!$B$43,'Reference Rates'!$B$44)</f>
        <v>200</v>
      </c>
      <c r="S24" s="22">
        <f t="shared" si="3"/>
        <v>1694.05078125</v>
      </c>
      <c r="T24" s="21">
        <f t="shared" si="4"/>
        <v>0</v>
      </c>
      <c r="U24" s="21">
        <f>IF(T24&lt;='Reference Rates'!$D$51,0,IF(T24&lt;='Reference Rates'!$D$52,'Reference Rates'!$B$51+(T24-'Reference Rates'!$D$51)*'Reference Rates'!$C$51,IF(T24&lt;='Reference Rates'!$D$53,'Reference Rates'!$B$52+(T24-'Reference Rates'!$D$52)*'Reference Rates'!$C$52,IF(T24&lt;='Reference Rates'!$D$54,'Reference Rates'!$B$53+(T24-'Reference Rates'!$D$53)*'Reference Rates'!$C$53,IF(T24&lt;='Reference Rates'!$D$55,'Reference Rates'!$B$54+(T24-'Reference Rates'!$D$54)*'Reference Rates'!$C$54,'Reference Rates'!$B$55+(T24-'Reference Rates'!$D$55)*'Reference Rates'!$C$55)))))</f>
        <v>0</v>
      </c>
      <c r="V24" s="22">
        <f t="shared" si="5"/>
        <v>1694.05078125</v>
      </c>
      <c r="W24" s="24">
        <f t="shared" si="6"/>
        <v>19367.98046875</v>
      </c>
      <c r="X24" s="25">
        <f>O24*'Reference Rates'!$B$28</f>
        <v>2000</v>
      </c>
      <c r="Y24" s="25">
        <f>IF(O24&lt;'Reference Rates'!$B$31,'Reference Rates'!$B$32,'Reference Rates'!$B$33)</f>
        <v>30</v>
      </c>
      <c r="Z24" s="25">
        <f>MIN(MAX(L24,'Reference Rates'!$B$39),'Reference Rates'!$B$40)*'Reference Rates'!$B$38</f>
        <v>494.05078125</v>
      </c>
      <c r="AA24" s="25">
        <f>MIN(L24,'Reference Rates'!$B$46)*'Reference Rates'!$B$45</f>
        <v>200</v>
      </c>
      <c r="AB24" s="26">
        <f t="shared" si="7"/>
        <v>2724.05078125</v>
      </c>
      <c r="AC24" s="27">
        <f t="shared" si="8"/>
        <v>23786.08203125</v>
      </c>
    </row>
    <row r="25" spans="1:29" x14ac:dyDescent="0.35">
      <c r="A25" s="42" t="str">
        <f>'Aug 2026'!A25</f>
        <v>EMP-020</v>
      </c>
      <c r="B25" s="42" t="str">
        <f>IF('Aug 2026'!B25="","",'Aug 2026'!B25)</f>
        <v/>
      </c>
      <c r="C25" s="42" t="str">
        <f>'Aug 2026'!C25</f>
        <v>Warehouse</v>
      </c>
      <c r="D25" s="42" t="str">
        <f>'Aug 2026'!D25</f>
        <v>Inventory Clerk</v>
      </c>
      <c r="E25" s="43" t="str">
        <f>'Aug 2026'!E25</f>
        <v>Y</v>
      </c>
      <c r="F25" s="19">
        <f>'Reference Rates'!$E$14</f>
        <v>88.125</v>
      </c>
      <c r="G25" s="20">
        <v>200</v>
      </c>
      <c r="H25" s="20">
        <v>13</v>
      </c>
      <c r="I25" s="20">
        <v>0</v>
      </c>
      <c r="J25" s="21">
        <f t="shared" si="0"/>
        <v>17625</v>
      </c>
      <c r="K25" s="21">
        <f t="shared" si="1"/>
        <v>1432.03125</v>
      </c>
      <c r="L25" s="22">
        <f t="shared" si="2"/>
        <v>19057.03125</v>
      </c>
      <c r="M25" s="21">
        <f>'Reference Rates'!$B$19*G25/8</f>
        <v>1250</v>
      </c>
      <c r="N25" s="21">
        <f>I25*IFERROR(INDEX('Reference Rates'!$B$21:$B$22,MATCH(C25,'Reference Rates'!$A$21:$A$22,0)),0)</f>
        <v>0</v>
      </c>
      <c r="O25" s="23">
        <f>MIN('Reference Rates'!$B$30,MAX('Reference Rates'!$B$29,MROUND(L25,500)))</f>
        <v>19000</v>
      </c>
      <c r="P25" s="21">
        <f>O25*'Reference Rates'!$B$27</f>
        <v>950</v>
      </c>
      <c r="Q25" s="21">
        <f>MIN(MAX(L25,'Reference Rates'!$B$39),'Reference Rates'!$B$40)*'Reference Rates'!$B$37</f>
        <v>476.42578125</v>
      </c>
      <c r="R25" s="21">
        <f>MIN(L25,'Reference Rates'!$B$46)*IF(L25&gt;1500,'Reference Rates'!$B$43,'Reference Rates'!$B$44)</f>
        <v>200</v>
      </c>
      <c r="S25" s="22">
        <f t="shared" si="3"/>
        <v>1626.42578125</v>
      </c>
      <c r="T25" s="21">
        <f t="shared" si="4"/>
        <v>0</v>
      </c>
      <c r="U25" s="21">
        <f>IF(T25&lt;='Reference Rates'!$D$51,0,IF(T25&lt;='Reference Rates'!$D$52,'Reference Rates'!$B$51+(T25-'Reference Rates'!$D$51)*'Reference Rates'!$C$51,IF(T25&lt;='Reference Rates'!$D$53,'Reference Rates'!$B$52+(T25-'Reference Rates'!$D$52)*'Reference Rates'!$C$52,IF(T25&lt;='Reference Rates'!$D$54,'Reference Rates'!$B$53+(T25-'Reference Rates'!$D$53)*'Reference Rates'!$C$53,IF(T25&lt;='Reference Rates'!$D$55,'Reference Rates'!$B$54+(T25-'Reference Rates'!$D$54)*'Reference Rates'!$C$54,'Reference Rates'!$B$55+(T25-'Reference Rates'!$D$55)*'Reference Rates'!$C$55)))))</f>
        <v>0</v>
      </c>
      <c r="V25" s="22">
        <f t="shared" si="5"/>
        <v>1626.42578125</v>
      </c>
      <c r="W25" s="24">
        <f t="shared" si="6"/>
        <v>18680.60546875</v>
      </c>
      <c r="X25" s="25">
        <f>O25*'Reference Rates'!$B$28</f>
        <v>1900</v>
      </c>
      <c r="Y25" s="25">
        <f>IF(O25&lt;'Reference Rates'!$B$31,'Reference Rates'!$B$32,'Reference Rates'!$B$33)</f>
        <v>30</v>
      </c>
      <c r="Z25" s="25">
        <f>MIN(MAX(L25,'Reference Rates'!$B$39),'Reference Rates'!$B$40)*'Reference Rates'!$B$38</f>
        <v>476.42578125</v>
      </c>
      <c r="AA25" s="25">
        <f>MIN(L25,'Reference Rates'!$B$46)*'Reference Rates'!$B$45</f>
        <v>200</v>
      </c>
      <c r="AB25" s="26">
        <f t="shared" si="7"/>
        <v>2606.42578125</v>
      </c>
      <c r="AC25" s="27">
        <f t="shared" si="8"/>
        <v>22913.45703125</v>
      </c>
    </row>
    <row r="26" spans="1:29" x14ac:dyDescent="0.35">
      <c r="A26" s="44" t="str">
        <f>'Aug 2026'!A26</f>
        <v>EMP-021</v>
      </c>
      <c r="B26" s="44" t="str">
        <f>IF('Aug 2026'!B26="","",'Aug 2026'!B26)</f>
        <v>Joshua Cedric D. Cortez</v>
      </c>
      <c r="C26" s="44" t="str">
        <f>'Aug 2026'!C26</f>
        <v>Delivery – Luzon</v>
      </c>
      <c r="D26" s="44" t="str">
        <f>'Aug 2026'!D26</f>
        <v>Delivery Driver – Luzon Routes</v>
      </c>
      <c r="E26" s="45" t="str">
        <f>'Aug 2026'!E26</f>
        <v>N</v>
      </c>
      <c r="F26" s="46">
        <f>'Aug 2026'!F26</f>
        <v>100</v>
      </c>
      <c r="G26" s="29">
        <v>200</v>
      </c>
      <c r="H26" s="29">
        <v>13</v>
      </c>
      <c r="I26" s="29">
        <v>9</v>
      </c>
      <c r="J26" s="31">
        <f t="shared" si="0"/>
        <v>20000</v>
      </c>
      <c r="K26" s="31">
        <f t="shared" si="1"/>
        <v>1625</v>
      </c>
      <c r="L26" s="32">
        <f t="shared" si="2"/>
        <v>21625</v>
      </c>
      <c r="M26" s="31">
        <f>'Reference Rates'!$B$19*G26/8</f>
        <v>1250</v>
      </c>
      <c r="N26" s="31">
        <f>I26*IFERROR(INDEX('Reference Rates'!$B$21:$B$22,MATCH(C26,'Reference Rates'!$A$21:$A$22,0)),0)</f>
        <v>4500</v>
      </c>
      <c r="O26" s="33">
        <f>MIN('Reference Rates'!$B$30,MAX('Reference Rates'!$B$29,MROUND(L26,500)))</f>
        <v>21500</v>
      </c>
      <c r="P26" s="31">
        <f>O26*'Reference Rates'!$B$27</f>
        <v>1075</v>
      </c>
      <c r="Q26" s="31">
        <f>MIN(MAX(L26,'Reference Rates'!$B$39),'Reference Rates'!$B$40)*'Reference Rates'!$B$37</f>
        <v>540.625</v>
      </c>
      <c r="R26" s="31">
        <f>MIN(L26,'Reference Rates'!$B$46)*IF(L26&gt;1500,'Reference Rates'!$B$43,'Reference Rates'!$B$44)</f>
        <v>200</v>
      </c>
      <c r="S26" s="32">
        <f t="shared" si="3"/>
        <v>1815.625</v>
      </c>
      <c r="T26" s="31">
        <f t="shared" si="4"/>
        <v>19809.375</v>
      </c>
      <c r="U26" s="31">
        <f>IF(T26&lt;='Reference Rates'!$D$51,0,IF(T26&lt;='Reference Rates'!$D$52,'Reference Rates'!$B$51+(T26-'Reference Rates'!$D$51)*'Reference Rates'!$C$51,IF(T26&lt;='Reference Rates'!$D$53,'Reference Rates'!$B$52+(T26-'Reference Rates'!$D$52)*'Reference Rates'!$C$52,IF(T26&lt;='Reference Rates'!$D$54,'Reference Rates'!$B$53+(T26-'Reference Rates'!$D$53)*'Reference Rates'!$C$53,IF(T26&lt;='Reference Rates'!$D$55,'Reference Rates'!$B$54+(T26-'Reference Rates'!$D$54)*'Reference Rates'!$C$54,'Reference Rates'!$B$55+(T26-'Reference Rates'!$D$55)*'Reference Rates'!$C$55)))))</f>
        <v>0</v>
      </c>
      <c r="V26" s="32">
        <f t="shared" si="5"/>
        <v>1815.625</v>
      </c>
      <c r="W26" s="34">
        <f t="shared" si="6"/>
        <v>25559.375</v>
      </c>
      <c r="X26" s="25">
        <f>O26*'Reference Rates'!$B$28</f>
        <v>2150</v>
      </c>
      <c r="Y26" s="25">
        <f>IF(O26&lt;'Reference Rates'!$B$31,'Reference Rates'!$B$32,'Reference Rates'!$B$33)</f>
        <v>30</v>
      </c>
      <c r="Z26" s="25">
        <f>MIN(MAX(L26,'Reference Rates'!$B$39),'Reference Rates'!$B$40)*'Reference Rates'!$B$38</f>
        <v>540.625</v>
      </c>
      <c r="AA26" s="25">
        <f>MIN(L26,'Reference Rates'!$B$46)*'Reference Rates'!$B$45</f>
        <v>200</v>
      </c>
      <c r="AB26" s="26">
        <f t="shared" si="7"/>
        <v>2920.625</v>
      </c>
      <c r="AC26" s="27">
        <f t="shared" si="8"/>
        <v>30295.625</v>
      </c>
    </row>
    <row r="27" spans="1:29" x14ac:dyDescent="0.35">
      <c r="A27" s="44" t="str">
        <f>'Aug 2026'!A27</f>
        <v>EMP-022</v>
      </c>
      <c r="B27" s="44" t="str">
        <f>IF('Aug 2026'!B27="","",'Aug 2026'!B27)</f>
        <v/>
      </c>
      <c r="C27" s="44" t="str">
        <f>'Aug 2026'!C27</f>
        <v>Delivery – Luzon</v>
      </c>
      <c r="D27" s="44" t="str">
        <f>'Aug 2026'!D27</f>
        <v>Delivery Driver – Luzon Routes</v>
      </c>
      <c r="E27" s="45" t="str">
        <f>'Aug 2026'!E27</f>
        <v>N</v>
      </c>
      <c r="F27" s="46">
        <f>'Aug 2026'!F27</f>
        <v>105</v>
      </c>
      <c r="G27" s="29">
        <v>208</v>
      </c>
      <c r="H27" s="29">
        <v>17</v>
      </c>
      <c r="I27" s="29">
        <v>10</v>
      </c>
      <c r="J27" s="31">
        <f t="shared" si="0"/>
        <v>21840</v>
      </c>
      <c r="K27" s="31">
        <f t="shared" si="1"/>
        <v>2231.25</v>
      </c>
      <c r="L27" s="32">
        <f t="shared" si="2"/>
        <v>24071.25</v>
      </c>
      <c r="M27" s="31">
        <f>'Reference Rates'!$B$19*G27/8</f>
        <v>1300</v>
      </c>
      <c r="N27" s="31">
        <f>I27*IFERROR(INDEX('Reference Rates'!$B$21:$B$22,MATCH(C27,'Reference Rates'!$A$21:$A$22,0)),0)</f>
        <v>5000</v>
      </c>
      <c r="O27" s="33">
        <f>MIN('Reference Rates'!$B$30,MAX('Reference Rates'!$B$29,MROUND(L27,500)))</f>
        <v>24000</v>
      </c>
      <c r="P27" s="31">
        <f>O27*'Reference Rates'!$B$27</f>
        <v>1200</v>
      </c>
      <c r="Q27" s="31">
        <f>MIN(MAX(L27,'Reference Rates'!$B$39),'Reference Rates'!$B$40)*'Reference Rates'!$B$37</f>
        <v>601.78125</v>
      </c>
      <c r="R27" s="31">
        <f>MIN(L27,'Reference Rates'!$B$46)*IF(L27&gt;1500,'Reference Rates'!$B$43,'Reference Rates'!$B$44)</f>
        <v>200</v>
      </c>
      <c r="S27" s="32">
        <f t="shared" si="3"/>
        <v>2001.78125</v>
      </c>
      <c r="T27" s="31">
        <f t="shared" si="4"/>
        <v>22069.46875</v>
      </c>
      <c r="U27" s="31">
        <f>IF(T27&lt;='Reference Rates'!$D$51,0,IF(T27&lt;='Reference Rates'!$D$52,'Reference Rates'!$B$51+(T27-'Reference Rates'!$D$51)*'Reference Rates'!$C$51,IF(T27&lt;='Reference Rates'!$D$53,'Reference Rates'!$B$52+(T27-'Reference Rates'!$D$52)*'Reference Rates'!$C$52,IF(T27&lt;='Reference Rates'!$D$54,'Reference Rates'!$B$53+(T27-'Reference Rates'!$D$53)*'Reference Rates'!$C$53,IF(T27&lt;='Reference Rates'!$D$55,'Reference Rates'!$B$54+(T27-'Reference Rates'!$D$54)*'Reference Rates'!$C$54,'Reference Rates'!$B$55+(T27-'Reference Rates'!$D$55)*'Reference Rates'!$C$55)))))</f>
        <v>185.47031250000001</v>
      </c>
      <c r="V27" s="32">
        <f t="shared" si="5"/>
        <v>2187.2515625000001</v>
      </c>
      <c r="W27" s="34">
        <f t="shared" si="6"/>
        <v>28183.998437499999</v>
      </c>
      <c r="X27" s="25">
        <f>O27*'Reference Rates'!$B$28</f>
        <v>2400</v>
      </c>
      <c r="Y27" s="25">
        <f>IF(O27&lt;'Reference Rates'!$B$31,'Reference Rates'!$B$32,'Reference Rates'!$B$33)</f>
        <v>30</v>
      </c>
      <c r="Z27" s="25">
        <f>MIN(MAX(L27,'Reference Rates'!$B$39),'Reference Rates'!$B$40)*'Reference Rates'!$B$38</f>
        <v>601.78125</v>
      </c>
      <c r="AA27" s="25">
        <f>MIN(L27,'Reference Rates'!$B$46)*'Reference Rates'!$B$45</f>
        <v>200</v>
      </c>
      <c r="AB27" s="26">
        <f t="shared" si="7"/>
        <v>3231.78125</v>
      </c>
      <c r="AC27" s="27">
        <f t="shared" si="8"/>
        <v>33603.03125</v>
      </c>
    </row>
    <row r="28" spans="1:29" x14ac:dyDescent="0.35">
      <c r="A28" s="44" t="str">
        <f>'Aug 2026'!A28</f>
        <v>EMP-023</v>
      </c>
      <c r="B28" s="44" t="str">
        <f>IF('Aug 2026'!B28="","",'Aug 2026'!B28)</f>
        <v/>
      </c>
      <c r="C28" s="44" t="str">
        <f>'Aug 2026'!C28</f>
        <v>Delivery – Luzon</v>
      </c>
      <c r="D28" s="44" t="str">
        <f>'Aug 2026'!D28</f>
        <v>Delivery Driver – Luzon Routes</v>
      </c>
      <c r="E28" s="45" t="str">
        <f>'Aug 2026'!E28</f>
        <v>N</v>
      </c>
      <c r="F28" s="46">
        <f>'Aug 2026'!F28</f>
        <v>100</v>
      </c>
      <c r="G28" s="29">
        <v>208</v>
      </c>
      <c r="H28" s="29">
        <v>14</v>
      </c>
      <c r="I28" s="29">
        <v>8</v>
      </c>
      <c r="J28" s="31">
        <f t="shared" si="0"/>
        <v>20800</v>
      </c>
      <c r="K28" s="31">
        <f t="shared" si="1"/>
        <v>1750</v>
      </c>
      <c r="L28" s="32">
        <f t="shared" si="2"/>
        <v>22550</v>
      </c>
      <c r="M28" s="31">
        <f>'Reference Rates'!$B$19*G28/8</f>
        <v>1300</v>
      </c>
      <c r="N28" s="31">
        <f>I28*IFERROR(INDEX('Reference Rates'!$B$21:$B$22,MATCH(C28,'Reference Rates'!$A$21:$A$22,0)),0)</f>
        <v>4000</v>
      </c>
      <c r="O28" s="33">
        <f>MIN('Reference Rates'!$B$30,MAX('Reference Rates'!$B$29,MROUND(L28,500)))</f>
        <v>22500</v>
      </c>
      <c r="P28" s="31">
        <f>O28*'Reference Rates'!$B$27</f>
        <v>1125</v>
      </c>
      <c r="Q28" s="31">
        <f>MIN(MAX(L28,'Reference Rates'!$B$39),'Reference Rates'!$B$40)*'Reference Rates'!$B$37</f>
        <v>563.75</v>
      </c>
      <c r="R28" s="31">
        <f>MIN(L28,'Reference Rates'!$B$46)*IF(L28&gt;1500,'Reference Rates'!$B$43,'Reference Rates'!$B$44)</f>
        <v>200</v>
      </c>
      <c r="S28" s="32">
        <f t="shared" si="3"/>
        <v>1888.75</v>
      </c>
      <c r="T28" s="31">
        <f t="shared" si="4"/>
        <v>20661.25</v>
      </c>
      <c r="U28" s="31">
        <f>IF(T28&lt;='Reference Rates'!$D$51,0,IF(T28&lt;='Reference Rates'!$D$52,'Reference Rates'!$B$51+(T28-'Reference Rates'!$D$51)*'Reference Rates'!$C$51,IF(T28&lt;='Reference Rates'!$D$53,'Reference Rates'!$B$52+(T28-'Reference Rates'!$D$52)*'Reference Rates'!$C$52,IF(T28&lt;='Reference Rates'!$D$54,'Reference Rates'!$B$53+(T28-'Reference Rates'!$D$53)*'Reference Rates'!$C$53,IF(T28&lt;='Reference Rates'!$D$55,'Reference Rates'!$B$54+(T28-'Reference Rates'!$D$54)*'Reference Rates'!$C$54,'Reference Rates'!$B$55+(T28-'Reference Rates'!$D$55)*'Reference Rates'!$C$55)))))</f>
        <v>0</v>
      </c>
      <c r="V28" s="32">
        <f t="shared" si="5"/>
        <v>1888.75</v>
      </c>
      <c r="W28" s="34">
        <f t="shared" si="6"/>
        <v>25961.25</v>
      </c>
      <c r="X28" s="25">
        <f>O28*'Reference Rates'!$B$28</f>
        <v>2250</v>
      </c>
      <c r="Y28" s="25">
        <f>IF(O28&lt;'Reference Rates'!$B$31,'Reference Rates'!$B$32,'Reference Rates'!$B$33)</f>
        <v>30</v>
      </c>
      <c r="Z28" s="25">
        <f>MIN(MAX(L28,'Reference Rates'!$B$39),'Reference Rates'!$B$40)*'Reference Rates'!$B$38</f>
        <v>563.75</v>
      </c>
      <c r="AA28" s="25">
        <f>MIN(L28,'Reference Rates'!$B$46)*'Reference Rates'!$B$45</f>
        <v>200</v>
      </c>
      <c r="AB28" s="26">
        <f t="shared" si="7"/>
        <v>3043.75</v>
      </c>
      <c r="AC28" s="27">
        <f t="shared" si="8"/>
        <v>30893.75</v>
      </c>
    </row>
    <row r="29" spans="1:29" x14ac:dyDescent="0.35">
      <c r="A29" s="44" t="str">
        <f>'Aug 2026'!A29</f>
        <v>EMP-024</v>
      </c>
      <c r="B29" s="44" t="str">
        <f>IF('Aug 2026'!B29="","",'Aug 2026'!B29)</f>
        <v>Tristan Judd Mari Magsino</v>
      </c>
      <c r="C29" s="44" t="str">
        <f>'Aug 2026'!C29</f>
        <v>Delivery – Samar</v>
      </c>
      <c r="D29" s="44" t="str">
        <f>'Aug 2026'!D29</f>
        <v>Delivery Driver – Samar Routes</v>
      </c>
      <c r="E29" s="45" t="str">
        <f>'Aug 2026'!E29</f>
        <v>N</v>
      </c>
      <c r="F29" s="46">
        <f>'Aug 2026'!F29</f>
        <v>110</v>
      </c>
      <c r="G29" s="29">
        <v>208</v>
      </c>
      <c r="H29" s="29">
        <v>22</v>
      </c>
      <c r="I29" s="29">
        <v>12</v>
      </c>
      <c r="J29" s="31">
        <f t="shared" si="0"/>
        <v>22880</v>
      </c>
      <c r="K29" s="31">
        <f t="shared" si="1"/>
        <v>3025</v>
      </c>
      <c r="L29" s="32">
        <f t="shared" si="2"/>
        <v>25905</v>
      </c>
      <c r="M29" s="31">
        <f>'Reference Rates'!$B$19*G29/8</f>
        <v>1300</v>
      </c>
      <c r="N29" s="31">
        <f>I29*IFERROR(INDEX('Reference Rates'!$B$21:$B$22,MATCH(C29,'Reference Rates'!$A$21:$A$22,0)),0)</f>
        <v>10800</v>
      </c>
      <c r="O29" s="33">
        <f>MIN('Reference Rates'!$B$30,MAX('Reference Rates'!$B$29,MROUND(L29,500)))</f>
        <v>26000</v>
      </c>
      <c r="P29" s="31">
        <f>O29*'Reference Rates'!$B$27</f>
        <v>1300</v>
      </c>
      <c r="Q29" s="31">
        <f>MIN(MAX(L29,'Reference Rates'!$B$39),'Reference Rates'!$B$40)*'Reference Rates'!$B$37</f>
        <v>647.625</v>
      </c>
      <c r="R29" s="31">
        <f>MIN(L29,'Reference Rates'!$B$46)*IF(L29&gt;1500,'Reference Rates'!$B$43,'Reference Rates'!$B$44)</f>
        <v>200</v>
      </c>
      <c r="S29" s="32">
        <f t="shared" si="3"/>
        <v>2147.625</v>
      </c>
      <c r="T29" s="31">
        <f t="shared" si="4"/>
        <v>23757.375</v>
      </c>
      <c r="U29" s="31">
        <f>IF(T29&lt;='Reference Rates'!$D$51,0,IF(T29&lt;='Reference Rates'!$D$52,'Reference Rates'!$B$51+(T29-'Reference Rates'!$D$51)*'Reference Rates'!$C$51,IF(T29&lt;='Reference Rates'!$D$53,'Reference Rates'!$B$52+(T29-'Reference Rates'!$D$52)*'Reference Rates'!$C$52,IF(T29&lt;='Reference Rates'!$D$54,'Reference Rates'!$B$53+(T29-'Reference Rates'!$D$53)*'Reference Rates'!$C$53,IF(T29&lt;='Reference Rates'!$D$55,'Reference Rates'!$B$54+(T29-'Reference Rates'!$D$54)*'Reference Rates'!$C$54,'Reference Rates'!$B$55+(T29-'Reference Rates'!$D$55)*'Reference Rates'!$C$55)))))</f>
        <v>438.65625</v>
      </c>
      <c r="V29" s="32">
        <f t="shared" si="5"/>
        <v>2586.28125</v>
      </c>
      <c r="W29" s="34">
        <f t="shared" si="6"/>
        <v>35418.71875</v>
      </c>
      <c r="X29" s="25">
        <f>O29*'Reference Rates'!$B$28</f>
        <v>2600</v>
      </c>
      <c r="Y29" s="25">
        <f>IF(O29&lt;'Reference Rates'!$B$31,'Reference Rates'!$B$32,'Reference Rates'!$B$33)</f>
        <v>30</v>
      </c>
      <c r="Z29" s="25">
        <f>MIN(MAX(L29,'Reference Rates'!$B$39),'Reference Rates'!$B$40)*'Reference Rates'!$B$38</f>
        <v>647.625</v>
      </c>
      <c r="AA29" s="25">
        <f>MIN(L29,'Reference Rates'!$B$46)*'Reference Rates'!$B$45</f>
        <v>200</v>
      </c>
      <c r="AB29" s="26">
        <f t="shared" si="7"/>
        <v>3477.625</v>
      </c>
      <c r="AC29" s="27">
        <f t="shared" si="8"/>
        <v>41482.625</v>
      </c>
    </row>
    <row r="30" spans="1:29" x14ac:dyDescent="0.35">
      <c r="A30" s="44" t="str">
        <f>'Aug 2026'!A30</f>
        <v>EMP-025</v>
      </c>
      <c r="B30" s="44" t="str">
        <f>IF('Aug 2026'!B30="","",'Aug 2026'!B30)</f>
        <v/>
      </c>
      <c r="C30" s="44" t="str">
        <f>'Aug 2026'!C30</f>
        <v>Delivery – Samar</v>
      </c>
      <c r="D30" s="44" t="str">
        <f>'Aug 2026'!D30</f>
        <v>Delivery Driver – Samar Routes</v>
      </c>
      <c r="E30" s="45" t="str">
        <f>'Aug 2026'!E30</f>
        <v>N</v>
      </c>
      <c r="F30" s="46">
        <f>'Aug 2026'!F30</f>
        <v>115</v>
      </c>
      <c r="G30" s="29">
        <v>208</v>
      </c>
      <c r="H30" s="29">
        <v>21</v>
      </c>
      <c r="I30" s="29">
        <v>11</v>
      </c>
      <c r="J30" s="31">
        <f t="shared" si="0"/>
        <v>23920</v>
      </c>
      <c r="K30" s="31">
        <f t="shared" si="1"/>
        <v>3018.75</v>
      </c>
      <c r="L30" s="32">
        <f t="shared" si="2"/>
        <v>26938.75</v>
      </c>
      <c r="M30" s="31">
        <f>'Reference Rates'!$B$19*G30/8</f>
        <v>1300</v>
      </c>
      <c r="N30" s="31">
        <f>I30*IFERROR(INDEX('Reference Rates'!$B$21:$B$22,MATCH(C30,'Reference Rates'!$A$21:$A$22,0)),0)</f>
        <v>9900</v>
      </c>
      <c r="O30" s="33">
        <f>MIN('Reference Rates'!$B$30,MAX('Reference Rates'!$B$29,MROUND(L30,500)))</f>
        <v>27000</v>
      </c>
      <c r="P30" s="31">
        <f>O30*'Reference Rates'!$B$27</f>
        <v>1350</v>
      </c>
      <c r="Q30" s="31">
        <f>MIN(MAX(L30,'Reference Rates'!$B$39),'Reference Rates'!$B$40)*'Reference Rates'!$B$37</f>
        <v>673.46875</v>
      </c>
      <c r="R30" s="31">
        <f>MIN(L30,'Reference Rates'!$B$46)*IF(L30&gt;1500,'Reference Rates'!$B$43,'Reference Rates'!$B$44)</f>
        <v>200</v>
      </c>
      <c r="S30" s="32">
        <f t="shared" si="3"/>
        <v>2223.46875</v>
      </c>
      <c r="T30" s="31">
        <f t="shared" si="4"/>
        <v>24715.28125</v>
      </c>
      <c r="U30" s="31">
        <f>IF(T30&lt;='Reference Rates'!$D$51,0,IF(T30&lt;='Reference Rates'!$D$52,'Reference Rates'!$B$51+(T30-'Reference Rates'!$D$51)*'Reference Rates'!$C$51,IF(T30&lt;='Reference Rates'!$D$53,'Reference Rates'!$B$52+(T30-'Reference Rates'!$D$52)*'Reference Rates'!$C$52,IF(T30&lt;='Reference Rates'!$D$54,'Reference Rates'!$B$53+(T30-'Reference Rates'!$D$53)*'Reference Rates'!$C$53,IF(T30&lt;='Reference Rates'!$D$55,'Reference Rates'!$B$54+(T30-'Reference Rates'!$D$54)*'Reference Rates'!$C$54,'Reference Rates'!$B$55+(T30-'Reference Rates'!$D$55)*'Reference Rates'!$C$55)))))</f>
        <v>582.34218750000002</v>
      </c>
      <c r="V30" s="32">
        <f t="shared" si="5"/>
        <v>2805.8109374999999</v>
      </c>
      <c r="W30" s="34">
        <f t="shared" si="6"/>
        <v>35332.939062500001</v>
      </c>
      <c r="X30" s="25">
        <f>O30*'Reference Rates'!$B$28</f>
        <v>2700</v>
      </c>
      <c r="Y30" s="25">
        <f>IF(O30&lt;'Reference Rates'!$B$31,'Reference Rates'!$B$32,'Reference Rates'!$B$33)</f>
        <v>30</v>
      </c>
      <c r="Z30" s="25">
        <f>MIN(MAX(L30,'Reference Rates'!$B$39),'Reference Rates'!$B$40)*'Reference Rates'!$B$38</f>
        <v>673.46875</v>
      </c>
      <c r="AA30" s="25">
        <f>MIN(L30,'Reference Rates'!$B$46)*'Reference Rates'!$B$45</f>
        <v>200</v>
      </c>
      <c r="AB30" s="26">
        <f t="shared" si="7"/>
        <v>3603.46875</v>
      </c>
      <c r="AC30" s="27">
        <f t="shared" si="8"/>
        <v>41742.21875</v>
      </c>
    </row>
    <row r="31" spans="1:29" x14ac:dyDescent="0.35">
      <c r="A31" s="44" t="str">
        <f>'Aug 2026'!A31</f>
        <v>EMP-026</v>
      </c>
      <c r="B31" s="44" t="str">
        <f>IF('Aug 2026'!B31="","",'Aug 2026'!B31)</f>
        <v/>
      </c>
      <c r="C31" s="44" t="str">
        <f>'Aug 2026'!C31</f>
        <v>Delivery – Samar</v>
      </c>
      <c r="D31" s="44" t="str">
        <f>'Aug 2026'!D31</f>
        <v>Delivery Driver – Samar Routes</v>
      </c>
      <c r="E31" s="45" t="str">
        <f>'Aug 2026'!E31</f>
        <v>N</v>
      </c>
      <c r="F31" s="46">
        <f>'Aug 2026'!F31</f>
        <v>110</v>
      </c>
      <c r="G31" s="29">
        <v>208</v>
      </c>
      <c r="H31" s="29">
        <v>24</v>
      </c>
      <c r="I31" s="29">
        <v>12</v>
      </c>
      <c r="J31" s="31">
        <f t="shared" si="0"/>
        <v>22880</v>
      </c>
      <c r="K31" s="31">
        <f t="shared" si="1"/>
        <v>3300</v>
      </c>
      <c r="L31" s="32">
        <f t="shared" si="2"/>
        <v>26180</v>
      </c>
      <c r="M31" s="31">
        <f>'Reference Rates'!$B$19*G31/8</f>
        <v>1300</v>
      </c>
      <c r="N31" s="31">
        <f>I31*IFERROR(INDEX('Reference Rates'!$B$21:$B$22,MATCH(C31,'Reference Rates'!$A$21:$A$22,0)),0)</f>
        <v>10800</v>
      </c>
      <c r="O31" s="33">
        <f>MIN('Reference Rates'!$B$30,MAX('Reference Rates'!$B$29,MROUND(L31,500)))</f>
        <v>26000</v>
      </c>
      <c r="P31" s="31">
        <f>O31*'Reference Rates'!$B$27</f>
        <v>1300</v>
      </c>
      <c r="Q31" s="31">
        <f>MIN(MAX(L31,'Reference Rates'!$B$39),'Reference Rates'!$B$40)*'Reference Rates'!$B$37</f>
        <v>654.5</v>
      </c>
      <c r="R31" s="31">
        <f>MIN(L31,'Reference Rates'!$B$46)*IF(L31&gt;1500,'Reference Rates'!$B$43,'Reference Rates'!$B$44)</f>
        <v>200</v>
      </c>
      <c r="S31" s="32">
        <f t="shared" si="3"/>
        <v>2154.5</v>
      </c>
      <c r="T31" s="31">
        <f t="shared" si="4"/>
        <v>24025.5</v>
      </c>
      <c r="U31" s="31">
        <f>IF(T31&lt;='Reference Rates'!$D$51,0,IF(T31&lt;='Reference Rates'!$D$52,'Reference Rates'!$B$51+(T31-'Reference Rates'!$D$51)*'Reference Rates'!$C$51,IF(T31&lt;='Reference Rates'!$D$53,'Reference Rates'!$B$52+(T31-'Reference Rates'!$D$52)*'Reference Rates'!$C$52,IF(T31&lt;='Reference Rates'!$D$54,'Reference Rates'!$B$53+(T31-'Reference Rates'!$D$53)*'Reference Rates'!$C$53,IF(T31&lt;='Reference Rates'!$D$55,'Reference Rates'!$B$54+(T31-'Reference Rates'!$D$54)*'Reference Rates'!$C$54,'Reference Rates'!$B$55+(T31-'Reference Rates'!$D$55)*'Reference Rates'!$C$55)))))</f>
        <v>478.875</v>
      </c>
      <c r="V31" s="32">
        <f t="shared" si="5"/>
        <v>2633.375</v>
      </c>
      <c r="W31" s="34">
        <f t="shared" si="6"/>
        <v>35646.625</v>
      </c>
      <c r="X31" s="25">
        <f>O31*'Reference Rates'!$B$28</f>
        <v>2600</v>
      </c>
      <c r="Y31" s="25">
        <f>IF(O31&lt;'Reference Rates'!$B$31,'Reference Rates'!$B$32,'Reference Rates'!$B$33)</f>
        <v>30</v>
      </c>
      <c r="Z31" s="25">
        <f>MIN(MAX(L31,'Reference Rates'!$B$39),'Reference Rates'!$B$40)*'Reference Rates'!$B$38</f>
        <v>654.5</v>
      </c>
      <c r="AA31" s="25">
        <f>MIN(L31,'Reference Rates'!$B$46)*'Reference Rates'!$B$45</f>
        <v>200</v>
      </c>
      <c r="AB31" s="26">
        <f t="shared" si="7"/>
        <v>3484.5</v>
      </c>
      <c r="AC31" s="27">
        <f t="shared" si="8"/>
        <v>41764.5</v>
      </c>
    </row>
    <row r="32" spans="1:29" x14ac:dyDescent="0.35">
      <c r="A32" s="42" t="str">
        <f>'Aug 2026'!A32</f>
        <v>EMP-027</v>
      </c>
      <c r="B32" s="42" t="str">
        <f>IF('Aug 2026'!B32="","",'Aug 2026'!B32)</f>
        <v/>
      </c>
      <c r="C32" s="42" t="str">
        <f>'Aug 2026'!C32</f>
        <v>Admin / Supervisory</v>
      </c>
      <c r="D32" s="42" t="str">
        <f>'Aug 2026'!D32</f>
        <v>Store Supervisor</v>
      </c>
      <c r="E32" s="43" t="str">
        <f>'Aug 2026'!E32</f>
        <v>N</v>
      </c>
      <c r="F32" s="19">
        <f>'Aug 2026'!F32</f>
        <v>120</v>
      </c>
      <c r="G32" s="20">
        <v>208</v>
      </c>
      <c r="H32" s="20">
        <v>0</v>
      </c>
      <c r="I32" s="20">
        <v>0</v>
      </c>
      <c r="J32" s="21">
        <f t="shared" si="0"/>
        <v>24960</v>
      </c>
      <c r="K32" s="21">
        <f t="shared" si="1"/>
        <v>0</v>
      </c>
      <c r="L32" s="22">
        <f t="shared" si="2"/>
        <v>24960</v>
      </c>
      <c r="M32" s="21">
        <f>'Reference Rates'!$B$19*G32/8</f>
        <v>1300</v>
      </c>
      <c r="N32" s="21">
        <f>I32*IFERROR(INDEX('Reference Rates'!$B$21:$B$22,MATCH(C32,'Reference Rates'!$A$21:$A$22,0)),0)</f>
        <v>0</v>
      </c>
      <c r="O32" s="23">
        <f>MIN('Reference Rates'!$B$30,MAX('Reference Rates'!$B$29,MROUND(L32,500)))</f>
        <v>25000</v>
      </c>
      <c r="P32" s="21">
        <f>O32*'Reference Rates'!$B$27</f>
        <v>1250</v>
      </c>
      <c r="Q32" s="21">
        <f>MIN(MAX(L32,'Reference Rates'!$B$39),'Reference Rates'!$B$40)*'Reference Rates'!$B$37</f>
        <v>624</v>
      </c>
      <c r="R32" s="21">
        <f>MIN(L32,'Reference Rates'!$B$46)*IF(L32&gt;1500,'Reference Rates'!$B$43,'Reference Rates'!$B$44)</f>
        <v>200</v>
      </c>
      <c r="S32" s="22">
        <f t="shared" si="3"/>
        <v>2074</v>
      </c>
      <c r="T32" s="21">
        <f t="shared" si="4"/>
        <v>22886</v>
      </c>
      <c r="U32" s="21">
        <f>IF(T32&lt;='Reference Rates'!$D$51,0,IF(T32&lt;='Reference Rates'!$D$52,'Reference Rates'!$B$51+(T32-'Reference Rates'!$D$51)*'Reference Rates'!$C$51,IF(T32&lt;='Reference Rates'!$D$53,'Reference Rates'!$B$52+(T32-'Reference Rates'!$D$52)*'Reference Rates'!$C$52,IF(T32&lt;='Reference Rates'!$D$54,'Reference Rates'!$B$53+(T32-'Reference Rates'!$D$53)*'Reference Rates'!$C$53,IF(T32&lt;='Reference Rates'!$D$55,'Reference Rates'!$B$54+(T32-'Reference Rates'!$D$54)*'Reference Rates'!$C$54,'Reference Rates'!$B$55+(T32-'Reference Rates'!$D$55)*'Reference Rates'!$C$55)))))</f>
        <v>307.95</v>
      </c>
      <c r="V32" s="22">
        <f t="shared" si="5"/>
        <v>2381.9499999999998</v>
      </c>
      <c r="W32" s="24">
        <f t="shared" si="6"/>
        <v>23878.05</v>
      </c>
      <c r="X32" s="25">
        <f>O32*'Reference Rates'!$B$28</f>
        <v>2500</v>
      </c>
      <c r="Y32" s="25">
        <f>IF(O32&lt;'Reference Rates'!$B$31,'Reference Rates'!$B$32,'Reference Rates'!$B$33)</f>
        <v>30</v>
      </c>
      <c r="Z32" s="25">
        <f>MIN(MAX(L32,'Reference Rates'!$B$39),'Reference Rates'!$B$40)*'Reference Rates'!$B$38</f>
        <v>624</v>
      </c>
      <c r="AA32" s="25">
        <f>MIN(L32,'Reference Rates'!$B$46)*'Reference Rates'!$B$45</f>
        <v>200</v>
      </c>
      <c r="AB32" s="26">
        <f t="shared" si="7"/>
        <v>3354</v>
      </c>
      <c r="AC32" s="27">
        <f t="shared" si="8"/>
        <v>29614</v>
      </c>
    </row>
    <row r="33" spans="1:29" x14ac:dyDescent="0.35">
      <c r="A33" s="42" t="str">
        <f>'Aug 2026'!A33</f>
        <v>EMP-028</v>
      </c>
      <c r="B33" s="42" t="str">
        <f>IF('Aug 2026'!B33="","",'Aug 2026'!B33)</f>
        <v/>
      </c>
      <c r="C33" s="42" t="str">
        <f>'Aug 2026'!C33</f>
        <v>Admin / Supervisory</v>
      </c>
      <c r="D33" s="42" t="str">
        <f>'Aug 2026'!D33</f>
        <v>Warehouse &amp; Logistics Supervisor</v>
      </c>
      <c r="E33" s="43" t="str">
        <f>'Aug 2026'!E33</f>
        <v>N</v>
      </c>
      <c r="F33" s="19">
        <f>'Aug 2026'!F33</f>
        <v>130</v>
      </c>
      <c r="G33" s="20">
        <v>208</v>
      </c>
      <c r="H33" s="20">
        <v>0</v>
      </c>
      <c r="I33" s="20">
        <v>0</v>
      </c>
      <c r="J33" s="21">
        <f t="shared" si="0"/>
        <v>27040</v>
      </c>
      <c r="K33" s="21">
        <f t="shared" si="1"/>
        <v>0</v>
      </c>
      <c r="L33" s="22">
        <f t="shared" si="2"/>
        <v>27040</v>
      </c>
      <c r="M33" s="21">
        <f>'Reference Rates'!$B$19*G33/8</f>
        <v>1300</v>
      </c>
      <c r="N33" s="21">
        <f>I33*IFERROR(INDEX('Reference Rates'!$B$21:$B$22,MATCH(C33,'Reference Rates'!$A$21:$A$22,0)),0)</f>
        <v>0</v>
      </c>
      <c r="O33" s="23">
        <f>MIN('Reference Rates'!$B$30,MAX('Reference Rates'!$B$29,MROUND(L33,500)))</f>
        <v>27000</v>
      </c>
      <c r="P33" s="21">
        <f>O33*'Reference Rates'!$B$27</f>
        <v>1350</v>
      </c>
      <c r="Q33" s="21">
        <f>MIN(MAX(L33,'Reference Rates'!$B$39),'Reference Rates'!$B$40)*'Reference Rates'!$B$37</f>
        <v>676</v>
      </c>
      <c r="R33" s="21">
        <f>MIN(L33,'Reference Rates'!$B$46)*IF(L33&gt;1500,'Reference Rates'!$B$43,'Reference Rates'!$B$44)</f>
        <v>200</v>
      </c>
      <c r="S33" s="22">
        <f t="shared" si="3"/>
        <v>2226</v>
      </c>
      <c r="T33" s="21">
        <f t="shared" si="4"/>
        <v>24814</v>
      </c>
      <c r="U33" s="21">
        <f>IF(T33&lt;='Reference Rates'!$D$51,0,IF(T33&lt;='Reference Rates'!$D$52,'Reference Rates'!$B$51+(T33-'Reference Rates'!$D$51)*'Reference Rates'!$C$51,IF(T33&lt;='Reference Rates'!$D$53,'Reference Rates'!$B$52+(T33-'Reference Rates'!$D$52)*'Reference Rates'!$C$52,IF(T33&lt;='Reference Rates'!$D$54,'Reference Rates'!$B$53+(T33-'Reference Rates'!$D$53)*'Reference Rates'!$C$53,IF(T33&lt;='Reference Rates'!$D$55,'Reference Rates'!$B$54+(T33-'Reference Rates'!$D$54)*'Reference Rates'!$C$54,'Reference Rates'!$B$55+(T33-'Reference Rates'!$D$55)*'Reference Rates'!$C$55)))))</f>
        <v>597.15</v>
      </c>
      <c r="V33" s="22">
        <f t="shared" si="5"/>
        <v>2823.15</v>
      </c>
      <c r="W33" s="24">
        <f t="shared" si="6"/>
        <v>25516.85</v>
      </c>
      <c r="X33" s="25">
        <f>O33*'Reference Rates'!$B$28</f>
        <v>2700</v>
      </c>
      <c r="Y33" s="25">
        <f>IF(O33&lt;'Reference Rates'!$B$31,'Reference Rates'!$B$32,'Reference Rates'!$B$33)</f>
        <v>30</v>
      </c>
      <c r="Z33" s="25">
        <f>MIN(MAX(L33,'Reference Rates'!$B$39),'Reference Rates'!$B$40)*'Reference Rates'!$B$38</f>
        <v>676</v>
      </c>
      <c r="AA33" s="25">
        <f>MIN(L33,'Reference Rates'!$B$46)*'Reference Rates'!$B$45</f>
        <v>200</v>
      </c>
      <c r="AB33" s="26">
        <f t="shared" si="7"/>
        <v>3606</v>
      </c>
      <c r="AC33" s="27">
        <f t="shared" si="8"/>
        <v>31946</v>
      </c>
    </row>
    <row r="34" spans="1:29" x14ac:dyDescent="0.35">
      <c r="A34" s="42" t="str">
        <f>'Aug 2026'!A34</f>
        <v>EMP-029</v>
      </c>
      <c r="B34" s="42" t="str">
        <f>IF('Aug 2026'!B34="","",'Aug 2026'!B34)</f>
        <v/>
      </c>
      <c r="C34" s="42" t="str">
        <f>'Aug 2026'!C34</f>
        <v>Admin / Supervisory</v>
      </c>
      <c r="D34" s="42" t="str">
        <f>'Aug 2026'!D34</f>
        <v>Admin &amp; Payroll Officer</v>
      </c>
      <c r="E34" s="43" t="str">
        <f>'Aug 2026'!E34</f>
        <v>N</v>
      </c>
      <c r="F34" s="19">
        <f>'Aug 2026'!F34</f>
        <v>140</v>
      </c>
      <c r="G34" s="20">
        <v>208</v>
      </c>
      <c r="H34" s="20">
        <v>0</v>
      </c>
      <c r="I34" s="20">
        <v>0</v>
      </c>
      <c r="J34" s="21">
        <f t="shared" si="0"/>
        <v>29120</v>
      </c>
      <c r="K34" s="21">
        <f t="shared" si="1"/>
        <v>0</v>
      </c>
      <c r="L34" s="22">
        <f t="shared" si="2"/>
        <v>29120</v>
      </c>
      <c r="M34" s="21">
        <f>'Reference Rates'!$B$19*G34/8</f>
        <v>1300</v>
      </c>
      <c r="N34" s="21">
        <f>I34*IFERROR(INDEX('Reference Rates'!$B$21:$B$22,MATCH(C34,'Reference Rates'!$A$21:$A$22,0)),0)</f>
        <v>0</v>
      </c>
      <c r="O34" s="23">
        <f>MIN('Reference Rates'!$B$30,MAX('Reference Rates'!$B$29,MROUND(L34,500)))</f>
        <v>29000</v>
      </c>
      <c r="P34" s="21">
        <f>O34*'Reference Rates'!$B$27</f>
        <v>1450</v>
      </c>
      <c r="Q34" s="21">
        <f>MIN(MAX(L34,'Reference Rates'!$B$39),'Reference Rates'!$B$40)*'Reference Rates'!$B$37</f>
        <v>728</v>
      </c>
      <c r="R34" s="21">
        <f>MIN(L34,'Reference Rates'!$B$46)*IF(L34&gt;1500,'Reference Rates'!$B$43,'Reference Rates'!$B$44)</f>
        <v>200</v>
      </c>
      <c r="S34" s="22">
        <f t="shared" si="3"/>
        <v>2378</v>
      </c>
      <c r="T34" s="21">
        <f t="shared" si="4"/>
        <v>26742</v>
      </c>
      <c r="U34" s="21">
        <f>IF(T34&lt;='Reference Rates'!$D$51,0,IF(T34&lt;='Reference Rates'!$D$52,'Reference Rates'!$B$51+(T34-'Reference Rates'!$D$51)*'Reference Rates'!$C$51,IF(T34&lt;='Reference Rates'!$D$53,'Reference Rates'!$B$52+(T34-'Reference Rates'!$D$52)*'Reference Rates'!$C$52,IF(T34&lt;='Reference Rates'!$D$54,'Reference Rates'!$B$53+(T34-'Reference Rates'!$D$53)*'Reference Rates'!$C$53,IF(T34&lt;='Reference Rates'!$D$55,'Reference Rates'!$B$54+(T34-'Reference Rates'!$D$54)*'Reference Rates'!$C$54,'Reference Rates'!$B$55+(T34-'Reference Rates'!$D$55)*'Reference Rates'!$C$55)))))</f>
        <v>886.35</v>
      </c>
      <c r="V34" s="22">
        <f t="shared" si="5"/>
        <v>3264.35</v>
      </c>
      <c r="W34" s="24">
        <f t="shared" si="6"/>
        <v>27155.65</v>
      </c>
      <c r="X34" s="25">
        <f>O34*'Reference Rates'!$B$28</f>
        <v>2900</v>
      </c>
      <c r="Y34" s="25">
        <f>IF(O34&lt;'Reference Rates'!$B$31,'Reference Rates'!$B$32,'Reference Rates'!$B$33)</f>
        <v>30</v>
      </c>
      <c r="Z34" s="25">
        <f>MIN(MAX(L34,'Reference Rates'!$B$39),'Reference Rates'!$B$40)*'Reference Rates'!$B$38</f>
        <v>728</v>
      </c>
      <c r="AA34" s="25">
        <f>MIN(L34,'Reference Rates'!$B$46)*'Reference Rates'!$B$45</f>
        <v>200</v>
      </c>
      <c r="AB34" s="26">
        <f t="shared" si="7"/>
        <v>3858</v>
      </c>
      <c r="AC34" s="27">
        <f t="shared" si="8"/>
        <v>34278</v>
      </c>
    </row>
    <row r="35" spans="1:29" x14ac:dyDescent="0.35">
      <c r="A35" s="42" t="str">
        <f>'Aug 2026'!A35</f>
        <v>EMP-030</v>
      </c>
      <c r="B35" s="42" t="str">
        <f>IF('Aug 2026'!B35="","",'Aug 2026'!B35)</f>
        <v>Johnbel A. Maliñana</v>
      </c>
      <c r="C35" s="42" t="str">
        <f>'Aug 2026'!C35</f>
        <v>Admin / Supervisory</v>
      </c>
      <c r="D35" s="42" t="str">
        <f>'Aug 2026'!D35</f>
        <v>Operations Manager</v>
      </c>
      <c r="E35" s="43" t="str">
        <f>'Aug 2026'!E35</f>
        <v>N</v>
      </c>
      <c r="F35" s="19">
        <f>'Aug 2026'!F35</f>
        <v>160</v>
      </c>
      <c r="G35" s="20">
        <v>208</v>
      </c>
      <c r="H35" s="20">
        <v>0</v>
      </c>
      <c r="I35" s="20">
        <v>0</v>
      </c>
      <c r="J35" s="21">
        <f t="shared" si="0"/>
        <v>33280</v>
      </c>
      <c r="K35" s="21">
        <f t="shared" si="1"/>
        <v>0</v>
      </c>
      <c r="L35" s="22">
        <f t="shared" si="2"/>
        <v>33280</v>
      </c>
      <c r="M35" s="21">
        <f>'Reference Rates'!$B$19*G35/8</f>
        <v>1300</v>
      </c>
      <c r="N35" s="21">
        <f>I35*IFERROR(INDEX('Reference Rates'!$B$21:$B$22,MATCH(C35,'Reference Rates'!$A$21:$A$22,0)),0)</f>
        <v>0</v>
      </c>
      <c r="O35" s="23">
        <f>MIN('Reference Rates'!$B$30,MAX('Reference Rates'!$B$29,MROUND(L35,500)))</f>
        <v>33500</v>
      </c>
      <c r="P35" s="21">
        <f>O35*'Reference Rates'!$B$27</f>
        <v>1675</v>
      </c>
      <c r="Q35" s="21">
        <f>MIN(MAX(L35,'Reference Rates'!$B$39),'Reference Rates'!$B$40)*'Reference Rates'!$B$37</f>
        <v>832</v>
      </c>
      <c r="R35" s="21">
        <f>MIN(L35,'Reference Rates'!$B$46)*IF(L35&gt;1500,'Reference Rates'!$B$43,'Reference Rates'!$B$44)</f>
        <v>200</v>
      </c>
      <c r="S35" s="22">
        <f t="shared" si="3"/>
        <v>2707</v>
      </c>
      <c r="T35" s="21">
        <f t="shared" si="4"/>
        <v>30573</v>
      </c>
      <c r="U35" s="21">
        <f>IF(T35&lt;='Reference Rates'!$D$51,0,IF(T35&lt;='Reference Rates'!$D$52,'Reference Rates'!$B$51+(T35-'Reference Rates'!$D$51)*'Reference Rates'!$C$51,IF(T35&lt;='Reference Rates'!$D$53,'Reference Rates'!$B$52+(T35-'Reference Rates'!$D$52)*'Reference Rates'!$C$52,IF(T35&lt;='Reference Rates'!$D$54,'Reference Rates'!$B$53+(T35-'Reference Rates'!$D$53)*'Reference Rates'!$C$53,IF(T35&lt;='Reference Rates'!$D$55,'Reference Rates'!$B$54+(T35-'Reference Rates'!$D$54)*'Reference Rates'!$C$54,'Reference Rates'!$B$55+(T35-'Reference Rates'!$D$55)*'Reference Rates'!$C$55)))))</f>
        <v>1461</v>
      </c>
      <c r="V35" s="22">
        <f t="shared" si="5"/>
        <v>4168</v>
      </c>
      <c r="W35" s="24">
        <f t="shared" si="6"/>
        <v>30412</v>
      </c>
      <c r="X35" s="25">
        <f>O35*'Reference Rates'!$B$28</f>
        <v>3350</v>
      </c>
      <c r="Y35" s="25">
        <f>IF(O35&lt;'Reference Rates'!$B$31,'Reference Rates'!$B$32,'Reference Rates'!$B$33)</f>
        <v>30</v>
      </c>
      <c r="Z35" s="25">
        <f>MIN(MAX(L35,'Reference Rates'!$B$39),'Reference Rates'!$B$40)*'Reference Rates'!$B$38</f>
        <v>832</v>
      </c>
      <c r="AA35" s="25">
        <f>MIN(L35,'Reference Rates'!$B$46)*'Reference Rates'!$B$45</f>
        <v>200</v>
      </c>
      <c r="AB35" s="26">
        <f t="shared" si="7"/>
        <v>4412</v>
      </c>
      <c r="AC35" s="27">
        <f t="shared" si="8"/>
        <v>38992</v>
      </c>
    </row>
    <row r="36" spans="1:29" x14ac:dyDescent="0.35">
      <c r="A36" s="57" t="s">
        <v>145</v>
      </c>
      <c r="B36" s="57"/>
      <c r="C36" s="57"/>
      <c r="D36" s="57"/>
      <c r="E36" s="57"/>
      <c r="F36" s="57"/>
      <c r="G36" s="36">
        <f t="shared" ref="G36:N36" si="9">SUM(G6:G35)</f>
        <v>6208</v>
      </c>
      <c r="H36" s="36">
        <f t="shared" si="9"/>
        <v>185</v>
      </c>
      <c r="I36" s="36">
        <f t="shared" si="9"/>
        <v>62</v>
      </c>
      <c r="J36" s="37">
        <f t="shared" si="9"/>
        <v>611205</v>
      </c>
      <c r="K36" s="37">
        <f t="shared" si="9"/>
        <v>23101.5625</v>
      </c>
      <c r="L36" s="37">
        <f t="shared" si="9"/>
        <v>634306.5625</v>
      </c>
      <c r="M36" s="37">
        <f t="shared" si="9"/>
        <v>38800</v>
      </c>
      <c r="N36" s="37">
        <f t="shared" si="9"/>
        <v>45000</v>
      </c>
      <c r="O36" s="2"/>
      <c r="P36" s="37">
        <f t="shared" ref="P36:AC36" si="10">SUM(P6:P35)</f>
        <v>31825</v>
      </c>
      <c r="Q36" s="37">
        <f t="shared" si="10"/>
        <v>15857.6640625</v>
      </c>
      <c r="R36" s="37">
        <f t="shared" si="10"/>
        <v>6000</v>
      </c>
      <c r="S36" s="37">
        <f t="shared" si="10"/>
        <v>53682.6640625</v>
      </c>
      <c r="T36" s="37">
        <f t="shared" si="10"/>
        <v>240053.25</v>
      </c>
      <c r="U36" s="37">
        <f t="shared" si="10"/>
        <v>4937.7937499999998</v>
      </c>
      <c r="V36" s="37">
        <f t="shared" si="10"/>
        <v>58620.457812499997</v>
      </c>
      <c r="W36" s="37">
        <f t="shared" si="10"/>
        <v>659486.10468750005</v>
      </c>
      <c r="X36" s="37">
        <f t="shared" si="10"/>
        <v>63650</v>
      </c>
      <c r="Y36" s="37">
        <f t="shared" si="10"/>
        <v>900</v>
      </c>
      <c r="Z36" s="37">
        <f t="shared" si="10"/>
        <v>15857.6640625</v>
      </c>
      <c r="AA36" s="37">
        <f t="shared" si="10"/>
        <v>6000</v>
      </c>
      <c r="AB36" s="37">
        <f t="shared" si="10"/>
        <v>86407.6640625</v>
      </c>
      <c r="AC36" s="37">
        <f t="shared" si="10"/>
        <v>804514.2265625</v>
      </c>
    </row>
    <row r="38" spans="1:29" x14ac:dyDescent="0.35">
      <c r="A38" s="14" t="s">
        <v>146</v>
      </c>
      <c r="B38" s="38" t="s">
        <v>147</v>
      </c>
      <c r="C38" s="39" t="s">
        <v>148</v>
      </c>
      <c r="D38" s="40" t="s">
        <v>149</v>
      </c>
      <c r="G38" s="41" t="s">
        <v>150</v>
      </c>
    </row>
  </sheetData>
  <mergeCells count="4">
    <mergeCell ref="A1:W1"/>
    <mergeCell ref="A2:W2"/>
    <mergeCell ref="B3:D3"/>
    <mergeCell ref="A36:F36"/>
  </mergeCells>
  <pageMargins left="0.3" right="0.3" top="0.4" bottom="0.7" header="0.511811023622047" footer="0.5"/>
  <pageSetup orientation="landscape" horizontalDpi="300" verticalDpi="300"/>
  <headerFooter>
    <oddFooter>&amp;LPrinted Name: _______________________________&amp;CDate: _______________&amp;RSignature: _______________________________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3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9.54296875" customWidth="1"/>
    <col min="2" max="2" width="20" customWidth="1"/>
    <col min="3" max="3" width="17" customWidth="1"/>
    <col min="4" max="4" width="28" customWidth="1"/>
    <col min="5" max="5" width="5.54296875" customWidth="1"/>
    <col min="6" max="6" width="9.54296875" customWidth="1"/>
    <col min="7" max="8" width="8" customWidth="1"/>
    <col min="9" max="9" width="8.453125" customWidth="1"/>
    <col min="10" max="29" width="11.453125" customWidth="1"/>
  </cols>
  <sheetData>
    <row r="1" spans="1:29" ht="18" x14ac:dyDescent="0.4">
      <c r="A1" s="55" t="s">
        <v>154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9" ht="36" customHeight="1" x14ac:dyDescent="0.35">
      <c r="A2" s="54" t="s">
        <v>152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9" x14ac:dyDescent="0.35">
      <c r="A3" s="14" t="s">
        <v>67</v>
      </c>
      <c r="B3" s="56" t="s">
        <v>155</v>
      </c>
      <c r="C3" s="56"/>
      <c r="D3" s="56"/>
    </row>
    <row r="5" spans="1:29" ht="31.5" customHeight="1" x14ac:dyDescent="0.35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1" t="s">
        <v>84</v>
      </c>
      <c r="Q5" s="1" t="s">
        <v>85</v>
      </c>
      <c r="R5" s="1" t="s">
        <v>86</v>
      </c>
      <c r="S5" s="1" t="s">
        <v>87</v>
      </c>
      <c r="T5" s="1" t="s">
        <v>88</v>
      </c>
      <c r="U5" s="1" t="s">
        <v>89</v>
      </c>
      <c r="V5" s="1" t="s">
        <v>90</v>
      </c>
      <c r="W5" s="1" t="s">
        <v>91</v>
      </c>
      <c r="X5" s="15" t="s">
        <v>92</v>
      </c>
      <c r="Y5" s="15" t="s">
        <v>93</v>
      </c>
      <c r="Z5" s="15" t="s">
        <v>94</v>
      </c>
      <c r="AA5" s="15" t="s">
        <v>95</v>
      </c>
      <c r="AB5" s="15" t="s">
        <v>96</v>
      </c>
      <c r="AC5" s="15" t="s">
        <v>97</v>
      </c>
    </row>
    <row r="6" spans="1:29" x14ac:dyDescent="0.35">
      <c r="A6" s="42" t="str">
        <f>'Aug 2026'!A6</f>
        <v>EMP-001</v>
      </c>
      <c r="B6" s="42" t="str">
        <f>IF('Aug 2026'!B6="","",'Aug 2026'!B6)</f>
        <v>Mikhail Dustin Elpedes</v>
      </c>
      <c r="C6" s="42" t="str">
        <f>'Aug 2026'!C6</f>
        <v>Store</v>
      </c>
      <c r="D6" s="42" t="str">
        <f>'Aug 2026'!D6</f>
        <v>Cashier</v>
      </c>
      <c r="E6" s="43" t="str">
        <f>'Aug 2026'!E6</f>
        <v>Y</v>
      </c>
      <c r="F6" s="19">
        <f>'Reference Rates'!$E$15</f>
        <v>94.375</v>
      </c>
      <c r="G6" s="20">
        <v>208</v>
      </c>
      <c r="H6" s="20">
        <v>6</v>
      </c>
      <c r="I6" s="20">
        <v>0</v>
      </c>
      <c r="J6" s="21">
        <f t="shared" ref="J6:J35" si="0">F6*G6</f>
        <v>19630</v>
      </c>
      <c r="K6" s="21">
        <f t="shared" ref="K6:K35" si="1">F6*1.25*H6</f>
        <v>707.8125</v>
      </c>
      <c r="L6" s="22">
        <f t="shared" ref="L6:L35" si="2">J6+K6</f>
        <v>20337.8125</v>
      </c>
      <c r="M6" s="21">
        <f>'Reference Rates'!$B$19*G6/8</f>
        <v>1300</v>
      </c>
      <c r="N6" s="21">
        <f>I6*IFERROR(INDEX('Reference Rates'!$B$21:$B$22,MATCH(C6,'Reference Rates'!$A$21:$A$22,0)),0)</f>
        <v>0</v>
      </c>
      <c r="O6" s="23">
        <f>MIN('Reference Rates'!$B$30,MAX('Reference Rates'!$B$29,MROUND(L6,500)))</f>
        <v>20500</v>
      </c>
      <c r="P6" s="21">
        <f>O6*'Reference Rates'!$B$27</f>
        <v>1025</v>
      </c>
      <c r="Q6" s="21">
        <f>MIN(MAX(L6,'Reference Rates'!$B$39),'Reference Rates'!$B$40)*'Reference Rates'!$B$37</f>
        <v>508.4453125</v>
      </c>
      <c r="R6" s="21">
        <f>MIN(L6,'Reference Rates'!$B$46)*IF(L6&gt;1500,'Reference Rates'!$B$43,'Reference Rates'!$B$44)</f>
        <v>200</v>
      </c>
      <c r="S6" s="22">
        <f t="shared" ref="S6:S35" si="3">P6+Q6+R6</f>
        <v>1733.4453125</v>
      </c>
      <c r="T6" s="21">
        <f t="shared" ref="T6:T35" si="4">IF(E6="Y",0,MAX(0,L6-S6))</f>
        <v>0</v>
      </c>
      <c r="U6" s="21">
        <f>IF(T6&lt;='Reference Rates'!$D$51,0,IF(T6&lt;='Reference Rates'!$D$52,'Reference Rates'!$B$51+(T6-'Reference Rates'!$D$51)*'Reference Rates'!$C$51,IF(T6&lt;='Reference Rates'!$D$53,'Reference Rates'!$B$52+(T6-'Reference Rates'!$D$52)*'Reference Rates'!$C$52,IF(T6&lt;='Reference Rates'!$D$54,'Reference Rates'!$B$53+(T6-'Reference Rates'!$D$53)*'Reference Rates'!$C$53,IF(T6&lt;='Reference Rates'!$D$55,'Reference Rates'!$B$54+(T6-'Reference Rates'!$D$54)*'Reference Rates'!$C$54,'Reference Rates'!$B$55+(T6-'Reference Rates'!$D$55)*'Reference Rates'!$C$55)))))</f>
        <v>0</v>
      </c>
      <c r="V6" s="22">
        <f t="shared" ref="V6:V35" si="5">S6+U6</f>
        <v>1733.4453125</v>
      </c>
      <c r="W6" s="24">
        <f t="shared" ref="W6:W35" si="6">L6+M6+N6-V6</f>
        <v>19904.3671875</v>
      </c>
      <c r="X6" s="25">
        <f>O6*'Reference Rates'!$B$28</f>
        <v>2050</v>
      </c>
      <c r="Y6" s="25">
        <f>IF(O6&lt;'Reference Rates'!$B$31,'Reference Rates'!$B$32,'Reference Rates'!$B$33)</f>
        <v>30</v>
      </c>
      <c r="Z6" s="25">
        <f>MIN(MAX(L6,'Reference Rates'!$B$39),'Reference Rates'!$B$40)*'Reference Rates'!$B$38</f>
        <v>508.4453125</v>
      </c>
      <c r="AA6" s="25">
        <f>MIN(L6,'Reference Rates'!$B$46)*'Reference Rates'!$B$45</f>
        <v>200</v>
      </c>
      <c r="AB6" s="26">
        <f t="shared" ref="AB6:AB35" si="7">X6+Y6+Z6+AA6</f>
        <v>2788.4453125</v>
      </c>
      <c r="AC6" s="27">
        <f t="shared" ref="AC6:AC35" si="8">L6+M6+N6+AB6</f>
        <v>24426.2578125</v>
      </c>
    </row>
    <row r="7" spans="1:29" x14ac:dyDescent="0.35">
      <c r="A7" s="42" t="str">
        <f>'Aug 2026'!A7</f>
        <v>EMP-002</v>
      </c>
      <c r="B7" s="42" t="str">
        <f>IF('Aug 2026'!B7="","",'Aug 2026'!B7)</f>
        <v/>
      </c>
      <c r="C7" s="42" t="str">
        <f>'Aug 2026'!C7</f>
        <v>Store</v>
      </c>
      <c r="D7" s="42" t="str">
        <f>'Aug 2026'!D7</f>
        <v>Cashier</v>
      </c>
      <c r="E7" s="43" t="str">
        <f>'Aug 2026'!E7</f>
        <v>Y</v>
      </c>
      <c r="F7" s="19">
        <f>'Reference Rates'!$E$15</f>
        <v>94.375</v>
      </c>
      <c r="G7" s="20">
        <v>208</v>
      </c>
      <c r="H7" s="20">
        <v>3</v>
      </c>
      <c r="I7" s="20">
        <v>0</v>
      </c>
      <c r="J7" s="21">
        <f t="shared" si="0"/>
        <v>19630</v>
      </c>
      <c r="K7" s="21">
        <f t="shared" si="1"/>
        <v>353.90625</v>
      </c>
      <c r="L7" s="22">
        <f t="shared" si="2"/>
        <v>19983.90625</v>
      </c>
      <c r="M7" s="21">
        <f>'Reference Rates'!$B$19*G7/8</f>
        <v>1300</v>
      </c>
      <c r="N7" s="21">
        <f>I7*IFERROR(INDEX('Reference Rates'!$B$21:$B$22,MATCH(C7,'Reference Rates'!$A$21:$A$22,0)),0)</f>
        <v>0</v>
      </c>
      <c r="O7" s="23">
        <f>MIN('Reference Rates'!$B$30,MAX('Reference Rates'!$B$29,MROUND(L7,500)))</f>
        <v>20000</v>
      </c>
      <c r="P7" s="21">
        <f>O7*'Reference Rates'!$B$27</f>
        <v>1000</v>
      </c>
      <c r="Q7" s="21">
        <f>MIN(MAX(L7,'Reference Rates'!$B$39),'Reference Rates'!$B$40)*'Reference Rates'!$B$37</f>
        <v>499.59765625</v>
      </c>
      <c r="R7" s="21">
        <f>MIN(L7,'Reference Rates'!$B$46)*IF(L7&gt;1500,'Reference Rates'!$B$43,'Reference Rates'!$B$44)</f>
        <v>200</v>
      </c>
      <c r="S7" s="22">
        <f t="shared" si="3"/>
        <v>1699.59765625</v>
      </c>
      <c r="T7" s="21">
        <f t="shared" si="4"/>
        <v>0</v>
      </c>
      <c r="U7" s="21">
        <f>IF(T7&lt;='Reference Rates'!$D$51,0,IF(T7&lt;='Reference Rates'!$D$52,'Reference Rates'!$B$51+(T7-'Reference Rates'!$D$51)*'Reference Rates'!$C$51,IF(T7&lt;='Reference Rates'!$D$53,'Reference Rates'!$B$52+(T7-'Reference Rates'!$D$52)*'Reference Rates'!$C$52,IF(T7&lt;='Reference Rates'!$D$54,'Reference Rates'!$B$53+(T7-'Reference Rates'!$D$53)*'Reference Rates'!$C$53,IF(T7&lt;='Reference Rates'!$D$55,'Reference Rates'!$B$54+(T7-'Reference Rates'!$D$54)*'Reference Rates'!$C$54,'Reference Rates'!$B$55+(T7-'Reference Rates'!$D$55)*'Reference Rates'!$C$55)))))</f>
        <v>0</v>
      </c>
      <c r="V7" s="22">
        <f t="shared" si="5"/>
        <v>1699.59765625</v>
      </c>
      <c r="W7" s="24">
        <f t="shared" si="6"/>
        <v>19584.30859375</v>
      </c>
      <c r="X7" s="25">
        <f>O7*'Reference Rates'!$B$28</f>
        <v>2000</v>
      </c>
      <c r="Y7" s="25">
        <f>IF(O7&lt;'Reference Rates'!$B$31,'Reference Rates'!$B$32,'Reference Rates'!$B$33)</f>
        <v>30</v>
      </c>
      <c r="Z7" s="25">
        <f>MIN(MAX(L7,'Reference Rates'!$B$39),'Reference Rates'!$B$40)*'Reference Rates'!$B$38</f>
        <v>499.59765625</v>
      </c>
      <c r="AA7" s="25">
        <f>MIN(L7,'Reference Rates'!$B$46)*'Reference Rates'!$B$45</f>
        <v>200</v>
      </c>
      <c r="AB7" s="26">
        <f t="shared" si="7"/>
        <v>2729.59765625</v>
      </c>
      <c r="AC7" s="27">
        <f t="shared" si="8"/>
        <v>24013.50390625</v>
      </c>
    </row>
    <row r="8" spans="1:29" x14ac:dyDescent="0.35">
      <c r="A8" s="42" t="str">
        <f>'Aug 2026'!A8</f>
        <v>EMP-003</v>
      </c>
      <c r="B8" s="42" t="str">
        <f>IF('Aug 2026'!B8="","",'Aug 2026'!B8)</f>
        <v/>
      </c>
      <c r="C8" s="42" t="str">
        <f>'Aug 2026'!C8</f>
        <v>Store</v>
      </c>
      <c r="D8" s="42" t="str">
        <f>'Aug 2026'!D8</f>
        <v>Cashier</v>
      </c>
      <c r="E8" s="43" t="str">
        <f>'Aug 2026'!E8</f>
        <v>Y</v>
      </c>
      <c r="F8" s="19">
        <f>'Reference Rates'!$E$15</f>
        <v>94.375</v>
      </c>
      <c r="G8" s="20">
        <v>200</v>
      </c>
      <c r="H8" s="20">
        <v>5</v>
      </c>
      <c r="I8" s="20">
        <v>0</v>
      </c>
      <c r="J8" s="21">
        <f t="shared" si="0"/>
        <v>18875</v>
      </c>
      <c r="K8" s="21">
        <f t="shared" si="1"/>
        <v>589.84375</v>
      </c>
      <c r="L8" s="22">
        <f t="shared" si="2"/>
        <v>19464.84375</v>
      </c>
      <c r="M8" s="21">
        <f>'Reference Rates'!$B$19*G8/8</f>
        <v>1250</v>
      </c>
      <c r="N8" s="21">
        <f>I8*IFERROR(INDEX('Reference Rates'!$B$21:$B$22,MATCH(C8,'Reference Rates'!$A$21:$A$22,0)),0)</f>
        <v>0</v>
      </c>
      <c r="O8" s="23">
        <f>MIN('Reference Rates'!$B$30,MAX('Reference Rates'!$B$29,MROUND(L8,500)))</f>
        <v>19500</v>
      </c>
      <c r="P8" s="21">
        <f>O8*'Reference Rates'!$B$27</f>
        <v>975</v>
      </c>
      <c r="Q8" s="21">
        <f>MIN(MAX(L8,'Reference Rates'!$B$39),'Reference Rates'!$B$40)*'Reference Rates'!$B$37</f>
        <v>486.62109375</v>
      </c>
      <c r="R8" s="21">
        <f>MIN(L8,'Reference Rates'!$B$46)*IF(L8&gt;1500,'Reference Rates'!$B$43,'Reference Rates'!$B$44)</f>
        <v>200</v>
      </c>
      <c r="S8" s="22">
        <f t="shared" si="3"/>
        <v>1661.62109375</v>
      </c>
      <c r="T8" s="21">
        <f t="shared" si="4"/>
        <v>0</v>
      </c>
      <c r="U8" s="21">
        <f>IF(T8&lt;='Reference Rates'!$D$51,0,IF(T8&lt;='Reference Rates'!$D$52,'Reference Rates'!$B$51+(T8-'Reference Rates'!$D$51)*'Reference Rates'!$C$51,IF(T8&lt;='Reference Rates'!$D$53,'Reference Rates'!$B$52+(T8-'Reference Rates'!$D$52)*'Reference Rates'!$C$52,IF(T8&lt;='Reference Rates'!$D$54,'Reference Rates'!$B$53+(T8-'Reference Rates'!$D$53)*'Reference Rates'!$C$53,IF(T8&lt;='Reference Rates'!$D$55,'Reference Rates'!$B$54+(T8-'Reference Rates'!$D$54)*'Reference Rates'!$C$54,'Reference Rates'!$B$55+(T8-'Reference Rates'!$D$55)*'Reference Rates'!$C$55)))))</f>
        <v>0</v>
      </c>
      <c r="V8" s="22">
        <f t="shared" si="5"/>
        <v>1661.62109375</v>
      </c>
      <c r="W8" s="24">
        <f t="shared" si="6"/>
        <v>19053.22265625</v>
      </c>
      <c r="X8" s="25">
        <f>O8*'Reference Rates'!$B$28</f>
        <v>1950</v>
      </c>
      <c r="Y8" s="25">
        <f>IF(O8&lt;'Reference Rates'!$B$31,'Reference Rates'!$B$32,'Reference Rates'!$B$33)</f>
        <v>30</v>
      </c>
      <c r="Z8" s="25">
        <f>MIN(MAX(L8,'Reference Rates'!$B$39),'Reference Rates'!$B$40)*'Reference Rates'!$B$38</f>
        <v>486.62109375</v>
      </c>
      <c r="AA8" s="25">
        <f>MIN(L8,'Reference Rates'!$B$46)*'Reference Rates'!$B$45</f>
        <v>200</v>
      </c>
      <c r="AB8" s="26">
        <f t="shared" si="7"/>
        <v>2666.62109375</v>
      </c>
      <c r="AC8" s="27">
        <f t="shared" si="8"/>
        <v>23381.46484375</v>
      </c>
    </row>
    <row r="9" spans="1:29" x14ac:dyDescent="0.35">
      <c r="A9" s="42" t="str">
        <f>'Aug 2026'!A9</f>
        <v>EMP-004</v>
      </c>
      <c r="B9" s="42" t="str">
        <f>IF('Aug 2026'!B9="","",'Aug 2026'!B9)</f>
        <v/>
      </c>
      <c r="C9" s="42" t="str">
        <f>'Aug 2026'!C9</f>
        <v>Store</v>
      </c>
      <c r="D9" s="42" t="str">
        <f>'Aug 2026'!D9</f>
        <v>Cashier</v>
      </c>
      <c r="E9" s="43" t="str">
        <f>'Aug 2026'!E9</f>
        <v>Y</v>
      </c>
      <c r="F9" s="19">
        <f>'Reference Rates'!$E$15</f>
        <v>94.375</v>
      </c>
      <c r="G9" s="20">
        <v>208</v>
      </c>
      <c r="H9" s="20">
        <v>6</v>
      </c>
      <c r="I9" s="20">
        <v>0</v>
      </c>
      <c r="J9" s="21">
        <f t="shared" si="0"/>
        <v>19630</v>
      </c>
      <c r="K9" s="21">
        <f t="shared" si="1"/>
        <v>707.8125</v>
      </c>
      <c r="L9" s="22">
        <f t="shared" si="2"/>
        <v>20337.8125</v>
      </c>
      <c r="M9" s="21">
        <f>'Reference Rates'!$B$19*G9/8</f>
        <v>1300</v>
      </c>
      <c r="N9" s="21">
        <f>I9*IFERROR(INDEX('Reference Rates'!$B$21:$B$22,MATCH(C9,'Reference Rates'!$A$21:$A$22,0)),0)</f>
        <v>0</v>
      </c>
      <c r="O9" s="23">
        <f>MIN('Reference Rates'!$B$30,MAX('Reference Rates'!$B$29,MROUND(L9,500)))</f>
        <v>20500</v>
      </c>
      <c r="P9" s="21">
        <f>O9*'Reference Rates'!$B$27</f>
        <v>1025</v>
      </c>
      <c r="Q9" s="21">
        <f>MIN(MAX(L9,'Reference Rates'!$B$39),'Reference Rates'!$B$40)*'Reference Rates'!$B$37</f>
        <v>508.4453125</v>
      </c>
      <c r="R9" s="21">
        <f>MIN(L9,'Reference Rates'!$B$46)*IF(L9&gt;1500,'Reference Rates'!$B$43,'Reference Rates'!$B$44)</f>
        <v>200</v>
      </c>
      <c r="S9" s="22">
        <f t="shared" si="3"/>
        <v>1733.4453125</v>
      </c>
      <c r="T9" s="21">
        <f t="shared" si="4"/>
        <v>0</v>
      </c>
      <c r="U9" s="21">
        <f>IF(T9&lt;='Reference Rates'!$D$51,0,IF(T9&lt;='Reference Rates'!$D$52,'Reference Rates'!$B$51+(T9-'Reference Rates'!$D$51)*'Reference Rates'!$C$51,IF(T9&lt;='Reference Rates'!$D$53,'Reference Rates'!$B$52+(T9-'Reference Rates'!$D$52)*'Reference Rates'!$C$52,IF(T9&lt;='Reference Rates'!$D$54,'Reference Rates'!$B$53+(T9-'Reference Rates'!$D$53)*'Reference Rates'!$C$53,IF(T9&lt;='Reference Rates'!$D$55,'Reference Rates'!$B$54+(T9-'Reference Rates'!$D$54)*'Reference Rates'!$C$54,'Reference Rates'!$B$55+(T9-'Reference Rates'!$D$55)*'Reference Rates'!$C$55)))))</f>
        <v>0</v>
      </c>
      <c r="V9" s="22">
        <f t="shared" si="5"/>
        <v>1733.4453125</v>
      </c>
      <c r="W9" s="24">
        <f t="shared" si="6"/>
        <v>19904.3671875</v>
      </c>
      <c r="X9" s="25">
        <f>O9*'Reference Rates'!$B$28</f>
        <v>2050</v>
      </c>
      <c r="Y9" s="25">
        <f>IF(O9&lt;'Reference Rates'!$B$31,'Reference Rates'!$B$32,'Reference Rates'!$B$33)</f>
        <v>30</v>
      </c>
      <c r="Z9" s="25">
        <f>MIN(MAX(L9,'Reference Rates'!$B$39),'Reference Rates'!$B$40)*'Reference Rates'!$B$38</f>
        <v>508.4453125</v>
      </c>
      <c r="AA9" s="25">
        <f>MIN(L9,'Reference Rates'!$B$46)*'Reference Rates'!$B$45</f>
        <v>200</v>
      </c>
      <c r="AB9" s="26">
        <f t="shared" si="7"/>
        <v>2788.4453125</v>
      </c>
      <c r="AC9" s="27">
        <f t="shared" si="8"/>
        <v>24426.2578125</v>
      </c>
    </row>
    <row r="10" spans="1:29" x14ac:dyDescent="0.35">
      <c r="A10" s="42" t="str">
        <f>'Aug 2026'!A10</f>
        <v>EMP-005</v>
      </c>
      <c r="B10" s="42" t="str">
        <f>IF('Aug 2026'!B10="","",'Aug 2026'!B10)</f>
        <v/>
      </c>
      <c r="C10" s="42" t="str">
        <f>'Aug 2026'!C10</f>
        <v>Store</v>
      </c>
      <c r="D10" s="42" t="str">
        <f>'Aug 2026'!D10</f>
        <v>Sales Clerk</v>
      </c>
      <c r="E10" s="43" t="str">
        <f>'Aug 2026'!E10</f>
        <v>Y</v>
      </c>
      <c r="F10" s="19">
        <f>'Reference Rates'!$E$15</f>
        <v>94.375</v>
      </c>
      <c r="G10" s="20">
        <v>208</v>
      </c>
      <c r="H10" s="20">
        <v>7</v>
      </c>
      <c r="I10" s="20">
        <v>0</v>
      </c>
      <c r="J10" s="21">
        <f t="shared" si="0"/>
        <v>19630</v>
      </c>
      <c r="K10" s="21">
        <f t="shared" si="1"/>
        <v>825.78125</v>
      </c>
      <c r="L10" s="22">
        <f t="shared" si="2"/>
        <v>20455.78125</v>
      </c>
      <c r="M10" s="21">
        <f>'Reference Rates'!$B$19*G10/8</f>
        <v>1300</v>
      </c>
      <c r="N10" s="21">
        <f>I10*IFERROR(INDEX('Reference Rates'!$B$21:$B$22,MATCH(C10,'Reference Rates'!$A$21:$A$22,0)),0)</f>
        <v>0</v>
      </c>
      <c r="O10" s="23">
        <f>MIN('Reference Rates'!$B$30,MAX('Reference Rates'!$B$29,MROUND(L10,500)))</f>
        <v>20500</v>
      </c>
      <c r="P10" s="21">
        <f>O10*'Reference Rates'!$B$27</f>
        <v>1025</v>
      </c>
      <c r="Q10" s="21">
        <f>MIN(MAX(L10,'Reference Rates'!$B$39),'Reference Rates'!$B$40)*'Reference Rates'!$B$37</f>
        <v>511.39453125</v>
      </c>
      <c r="R10" s="21">
        <f>MIN(L10,'Reference Rates'!$B$46)*IF(L10&gt;1500,'Reference Rates'!$B$43,'Reference Rates'!$B$44)</f>
        <v>200</v>
      </c>
      <c r="S10" s="22">
        <f t="shared" si="3"/>
        <v>1736.39453125</v>
      </c>
      <c r="T10" s="21">
        <f t="shared" si="4"/>
        <v>0</v>
      </c>
      <c r="U10" s="21">
        <f>IF(T10&lt;='Reference Rates'!$D$51,0,IF(T10&lt;='Reference Rates'!$D$52,'Reference Rates'!$B$51+(T10-'Reference Rates'!$D$51)*'Reference Rates'!$C$51,IF(T10&lt;='Reference Rates'!$D$53,'Reference Rates'!$B$52+(T10-'Reference Rates'!$D$52)*'Reference Rates'!$C$52,IF(T10&lt;='Reference Rates'!$D$54,'Reference Rates'!$B$53+(T10-'Reference Rates'!$D$53)*'Reference Rates'!$C$53,IF(T10&lt;='Reference Rates'!$D$55,'Reference Rates'!$B$54+(T10-'Reference Rates'!$D$54)*'Reference Rates'!$C$54,'Reference Rates'!$B$55+(T10-'Reference Rates'!$D$55)*'Reference Rates'!$C$55)))))</f>
        <v>0</v>
      </c>
      <c r="V10" s="22">
        <f t="shared" si="5"/>
        <v>1736.39453125</v>
      </c>
      <c r="W10" s="24">
        <f t="shared" si="6"/>
        <v>20019.38671875</v>
      </c>
      <c r="X10" s="25">
        <f>O10*'Reference Rates'!$B$28</f>
        <v>2050</v>
      </c>
      <c r="Y10" s="25">
        <f>IF(O10&lt;'Reference Rates'!$B$31,'Reference Rates'!$B$32,'Reference Rates'!$B$33)</f>
        <v>30</v>
      </c>
      <c r="Z10" s="25">
        <f>MIN(MAX(L10,'Reference Rates'!$B$39),'Reference Rates'!$B$40)*'Reference Rates'!$B$38</f>
        <v>511.39453125</v>
      </c>
      <c r="AA10" s="25">
        <f>MIN(L10,'Reference Rates'!$B$46)*'Reference Rates'!$B$45</f>
        <v>200</v>
      </c>
      <c r="AB10" s="26">
        <f t="shared" si="7"/>
        <v>2791.39453125</v>
      </c>
      <c r="AC10" s="27">
        <f t="shared" si="8"/>
        <v>24547.17578125</v>
      </c>
    </row>
    <row r="11" spans="1:29" x14ac:dyDescent="0.35">
      <c r="A11" s="42" t="str">
        <f>'Aug 2026'!A11</f>
        <v>EMP-006</v>
      </c>
      <c r="B11" s="42" t="str">
        <f>IF('Aug 2026'!B11="","",'Aug 2026'!B11)</f>
        <v/>
      </c>
      <c r="C11" s="42" t="str">
        <f>'Aug 2026'!C11</f>
        <v>Store</v>
      </c>
      <c r="D11" s="42" t="str">
        <f>'Aug 2026'!D11</f>
        <v>Sales Clerk</v>
      </c>
      <c r="E11" s="43" t="str">
        <f>'Aug 2026'!E11</f>
        <v>Y</v>
      </c>
      <c r="F11" s="19">
        <f>'Reference Rates'!$E$15</f>
        <v>94.375</v>
      </c>
      <c r="G11" s="20">
        <v>208</v>
      </c>
      <c r="H11" s="20">
        <v>0</v>
      </c>
      <c r="I11" s="20">
        <v>0</v>
      </c>
      <c r="J11" s="21">
        <f t="shared" si="0"/>
        <v>19630</v>
      </c>
      <c r="K11" s="21">
        <f t="shared" si="1"/>
        <v>0</v>
      </c>
      <c r="L11" s="22">
        <f t="shared" si="2"/>
        <v>19630</v>
      </c>
      <c r="M11" s="21">
        <f>'Reference Rates'!$B$19*G11/8</f>
        <v>1300</v>
      </c>
      <c r="N11" s="21">
        <f>I11*IFERROR(INDEX('Reference Rates'!$B$21:$B$22,MATCH(C11,'Reference Rates'!$A$21:$A$22,0)),0)</f>
        <v>0</v>
      </c>
      <c r="O11" s="23">
        <f>MIN('Reference Rates'!$B$30,MAX('Reference Rates'!$B$29,MROUND(L11,500)))</f>
        <v>19500</v>
      </c>
      <c r="P11" s="21">
        <f>O11*'Reference Rates'!$B$27</f>
        <v>975</v>
      </c>
      <c r="Q11" s="21">
        <f>MIN(MAX(L11,'Reference Rates'!$B$39),'Reference Rates'!$B$40)*'Reference Rates'!$B$37</f>
        <v>490.75</v>
      </c>
      <c r="R11" s="21">
        <f>MIN(L11,'Reference Rates'!$B$46)*IF(L11&gt;1500,'Reference Rates'!$B$43,'Reference Rates'!$B$44)</f>
        <v>200</v>
      </c>
      <c r="S11" s="22">
        <f t="shared" si="3"/>
        <v>1665.75</v>
      </c>
      <c r="T11" s="21">
        <f t="shared" si="4"/>
        <v>0</v>
      </c>
      <c r="U11" s="21">
        <f>IF(T11&lt;='Reference Rates'!$D$51,0,IF(T11&lt;='Reference Rates'!$D$52,'Reference Rates'!$B$51+(T11-'Reference Rates'!$D$51)*'Reference Rates'!$C$51,IF(T11&lt;='Reference Rates'!$D$53,'Reference Rates'!$B$52+(T11-'Reference Rates'!$D$52)*'Reference Rates'!$C$52,IF(T11&lt;='Reference Rates'!$D$54,'Reference Rates'!$B$53+(T11-'Reference Rates'!$D$53)*'Reference Rates'!$C$53,IF(T11&lt;='Reference Rates'!$D$55,'Reference Rates'!$B$54+(T11-'Reference Rates'!$D$54)*'Reference Rates'!$C$54,'Reference Rates'!$B$55+(T11-'Reference Rates'!$D$55)*'Reference Rates'!$C$55)))))</f>
        <v>0</v>
      </c>
      <c r="V11" s="22">
        <f t="shared" si="5"/>
        <v>1665.75</v>
      </c>
      <c r="W11" s="24">
        <f t="shared" si="6"/>
        <v>19264.25</v>
      </c>
      <c r="X11" s="25">
        <f>O11*'Reference Rates'!$B$28</f>
        <v>1950</v>
      </c>
      <c r="Y11" s="25">
        <f>IF(O11&lt;'Reference Rates'!$B$31,'Reference Rates'!$B$32,'Reference Rates'!$B$33)</f>
        <v>30</v>
      </c>
      <c r="Z11" s="25">
        <f>MIN(MAX(L11,'Reference Rates'!$B$39),'Reference Rates'!$B$40)*'Reference Rates'!$B$38</f>
        <v>490.75</v>
      </c>
      <c r="AA11" s="25">
        <f>MIN(L11,'Reference Rates'!$B$46)*'Reference Rates'!$B$45</f>
        <v>200</v>
      </c>
      <c r="AB11" s="26">
        <f t="shared" si="7"/>
        <v>2670.75</v>
      </c>
      <c r="AC11" s="27">
        <f t="shared" si="8"/>
        <v>23600.75</v>
      </c>
    </row>
    <row r="12" spans="1:29" x14ac:dyDescent="0.35">
      <c r="A12" s="42" t="str">
        <f>'Aug 2026'!A12</f>
        <v>EMP-007</v>
      </c>
      <c r="B12" s="42" t="str">
        <f>IF('Aug 2026'!B12="","",'Aug 2026'!B12)</f>
        <v/>
      </c>
      <c r="C12" s="42" t="str">
        <f>'Aug 2026'!C12</f>
        <v>Store</v>
      </c>
      <c r="D12" s="42" t="str">
        <f>'Aug 2026'!D12</f>
        <v>Sales Clerk</v>
      </c>
      <c r="E12" s="43" t="str">
        <f>'Aug 2026'!E12</f>
        <v>Y</v>
      </c>
      <c r="F12" s="19">
        <f>'Reference Rates'!$E$15</f>
        <v>94.375</v>
      </c>
      <c r="G12" s="20">
        <v>208</v>
      </c>
      <c r="H12" s="20">
        <v>5</v>
      </c>
      <c r="I12" s="20">
        <v>0</v>
      </c>
      <c r="J12" s="21">
        <f t="shared" si="0"/>
        <v>19630</v>
      </c>
      <c r="K12" s="21">
        <f t="shared" si="1"/>
        <v>589.84375</v>
      </c>
      <c r="L12" s="22">
        <f t="shared" si="2"/>
        <v>20219.84375</v>
      </c>
      <c r="M12" s="21">
        <f>'Reference Rates'!$B$19*G12/8</f>
        <v>1300</v>
      </c>
      <c r="N12" s="21">
        <f>I12*IFERROR(INDEX('Reference Rates'!$B$21:$B$22,MATCH(C12,'Reference Rates'!$A$21:$A$22,0)),0)</f>
        <v>0</v>
      </c>
      <c r="O12" s="23">
        <f>MIN('Reference Rates'!$B$30,MAX('Reference Rates'!$B$29,MROUND(L12,500)))</f>
        <v>20000</v>
      </c>
      <c r="P12" s="21">
        <f>O12*'Reference Rates'!$B$27</f>
        <v>1000</v>
      </c>
      <c r="Q12" s="21">
        <f>MIN(MAX(L12,'Reference Rates'!$B$39),'Reference Rates'!$B$40)*'Reference Rates'!$B$37</f>
        <v>505.49609375</v>
      </c>
      <c r="R12" s="21">
        <f>MIN(L12,'Reference Rates'!$B$46)*IF(L12&gt;1500,'Reference Rates'!$B$43,'Reference Rates'!$B$44)</f>
        <v>200</v>
      </c>
      <c r="S12" s="22">
        <f t="shared" si="3"/>
        <v>1705.49609375</v>
      </c>
      <c r="T12" s="21">
        <f t="shared" si="4"/>
        <v>0</v>
      </c>
      <c r="U12" s="21">
        <f>IF(T12&lt;='Reference Rates'!$D$51,0,IF(T12&lt;='Reference Rates'!$D$52,'Reference Rates'!$B$51+(T12-'Reference Rates'!$D$51)*'Reference Rates'!$C$51,IF(T12&lt;='Reference Rates'!$D$53,'Reference Rates'!$B$52+(T12-'Reference Rates'!$D$52)*'Reference Rates'!$C$52,IF(T12&lt;='Reference Rates'!$D$54,'Reference Rates'!$B$53+(T12-'Reference Rates'!$D$53)*'Reference Rates'!$C$53,IF(T12&lt;='Reference Rates'!$D$55,'Reference Rates'!$B$54+(T12-'Reference Rates'!$D$54)*'Reference Rates'!$C$54,'Reference Rates'!$B$55+(T12-'Reference Rates'!$D$55)*'Reference Rates'!$C$55)))))</f>
        <v>0</v>
      </c>
      <c r="V12" s="22">
        <f t="shared" si="5"/>
        <v>1705.49609375</v>
      </c>
      <c r="W12" s="24">
        <f t="shared" si="6"/>
        <v>19814.34765625</v>
      </c>
      <c r="X12" s="25">
        <f>O12*'Reference Rates'!$B$28</f>
        <v>2000</v>
      </c>
      <c r="Y12" s="25">
        <f>IF(O12&lt;'Reference Rates'!$B$31,'Reference Rates'!$B$32,'Reference Rates'!$B$33)</f>
        <v>30</v>
      </c>
      <c r="Z12" s="25">
        <f>MIN(MAX(L12,'Reference Rates'!$B$39),'Reference Rates'!$B$40)*'Reference Rates'!$B$38</f>
        <v>505.49609375</v>
      </c>
      <c r="AA12" s="25">
        <f>MIN(L12,'Reference Rates'!$B$46)*'Reference Rates'!$B$45</f>
        <v>200</v>
      </c>
      <c r="AB12" s="26">
        <f t="shared" si="7"/>
        <v>2735.49609375</v>
      </c>
      <c r="AC12" s="27">
        <f t="shared" si="8"/>
        <v>24255.33984375</v>
      </c>
    </row>
    <row r="13" spans="1:29" x14ac:dyDescent="0.35">
      <c r="A13" s="42" t="str">
        <f>'Aug 2026'!A13</f>
        <v>EMP-008</v>
      </c>
      <c r="B13" s="42" t="str">
        <f>IF('Aug 2026'!B13="","",'Aug 2026'!B13)</f>
        <v/>
      </c>
      <c r="C13" s="42" t="str">
        <f>'Aug 2026'!C13</f>
        <v>Store</v>
      </c>
      <c r="D13" s="42" t="str">
        <f>'Aug 2026'!D13</f>
        <v>Sales Clerk</v>
      </c>
      <c r="E13" s="43" t="str">
        <f>'Aug 2026'!E13</f>
        <v>Y</v>
      </c>
      <c r="F13" s="19">
        <f>'Reference Rates'!$E$15</f>
        <v>94.375</v>
      </c>
      <c r="G13" s="20">
        <v>208</v>
      </c>
      <c r="H13" s="20">
        <v>6</v>
      </c>
      <c r="I13" s="20">
        <v>0</v>
      </c>
      <c r="J13" s="21">
        <f t="shared" si="0"/>
        <v>19630</v>
      </c>
      <c r="K13" s="21">
        <f t="shared" si="1"/>
        <v>707.8125</v>
      </c>
      <c r="L13" s="22">
        <f t="shared" si="2"/>
        <v>20337.8125</v>
      </c>
      <c r="M13" s="21">
        <f>'Reference Rates'!$B$19*G13/8</f>
        <v>1300</v>
      </c>
      <c r="N13" s="21">
        <f>I13*IFERROR(INDEX('Reference Rates'!$B$21:$B$22,MATCH(C13,'Reference Rates'!$A$21:$A$22,0)),0)</f>
        <v>0</v>
      </c>
      <c r="O13" s="23">
        <f>MIN('Reference Rates'!$B$30,MAX('Reference Rates'!$B$29,MROUND(L13,500)))</f>
        <v>20500</v>
      </c>
      <c r="P13" s="21">
        <f>O13*'Reference Rates'!$B$27</f>
        <v>1025</v>
      </c>
      <c r="Q13" s="21">
        <f>MIN(MAX(L13,'Reference Rates'!$B$39),'Reference Rates'!$B$40)*'Reference Rates'!$B$37</f>
        <v>508.4453125</v>
      </c>
      <c r="R13" s="21">
        <f>MIN(L13,'Reference Rates'!$B$46)*IF(L13&gt;1500,'Reference Rates'!$B$43,'Reference Rates'!$B$44)</f>
        <v>200</v>
      </c>
      <c r="S13" s="22">
        <f t="shared" si="3"/>
        <v>1733.4453125</v>
      </c>
      <c r="T13" s="21">
        <f t="shared" si="4"/>
        <v>0</v>
      </c>
      <c r="U13" s="21">
        <f>IF(T13&lt;='Reference Rates'!$D$51,0,IF(T13&lt;='Reference Rates'!$D$52,'Reference Rates'!$B$51+(T13-'Reference Rates'!$D$51)*'Reference Rates'!$C$51,IF(T13&lt;='Reference Rates'!$D$53,'Reference Rates'!$B$52+(T13-'Reference Rates'!$D$52)*'Reference Rates'!$C$52,IF(T13&lt;='Reference Rates'!$D$54,'Reference Rates'!$B$53+(T13-'Reference Rates'!$D$53)*'Reference Rates'!$C$53,IF(T13&lt;='Reference Rates'!$D$55,'Reference Rates'!$B$54+(T13-'Reference Rates'!$D$54)*'Reference Rates'!$C$54,'Reference Rates'!$B$55+(T13-'Reference Rates'!$D$55)*'Reference Rates'!$C$55)))))</f>
        <v>0</v>
      </c>
      <c r="V13" s="22">
        <f t="shared" si="5"/>
        <v>1733.4453125</v>
      </c>
      <c r="W13" s="24">
        <f t="shared" si="6"/>
        <v>19904.3671875</v>
      </c>
      <c r="X13" s="25">
        <f>O13*'Reference Rates'!$B$28</f>
        <v>2050</v>
      </c>
      <c r="Y13" s="25">
        <f>IF(O13&lt;'Reference Rates'!$B$31,'Reference Rates'!$B$32,'Reference Rates'!$B$33)</f>
        <v>30</v>
      </c>
      <c r="Z13" s="25">
        <f>MIN(MAX(L13,'Reference Rates'!$B$39),'Reference Rates'!$B$40)*'Reference Rates'!$B$38</f>
        <v>508.4453125</v>
      </c>
      <c r="AA13" s="25">
        <f>MIN(L13,'Reference Rates'!$B$46)*'Reference Rates'!$B$45</f>
        <v>200</v>
      </c>
      <c r="AB13" s="26">
        <f t="shared" si="7"/>
        <v>2788.4453125</v>
      </c>
      <c r="AC13" s="27">
        <f t="shared" si="8"/>
        <v>24426.2578125</v>
      </c>
    </row>
    <row r="14" spans="1:29" x14ac:dyDescent="0.35">
      <c r="A14" s="42" t="str">
        <f>'Aug 2026'!A14</f>
        <v>EMP-009</v>
      </c>
      <c r="B14" s="42" t="str">
        <f>IF('Aug 2026'!B14="","",'Aug 2026'!B14)</f>
        <v/>
      </c>
      <c r="C14" s="42" t="str">
        <f>'Aug 2026'!C14</f>
        <v>Store</v>
      </c>
      <c r="D14" s="42" t="str">
        <f>'Aug 2026'!D14</f>
        <v>Sales Clerk</v>
      </c>
      <c r="E14" s="43" t="str">
        <f>'Aug 2026'!E14</f>
        <v>Y</v>
      </c>
      <c r="F14" s="19">
        <f>'Reference Rates'!$E$15</f>
        <v>94.375</v>
      </c>
      <c r="G14" s="20">
        <v>200</v>
      </c>
      <c r="H14" s="20">
        <v>5</v>
      </c>
      <c r="I14" s="20">
        <v>0</v>
      </c>
      <c r="J14" s="21">
        <f t="shared" si="0"/>
        <v>18875</v>
      </c>
      <c r="K14" s="21">
        <f t="shared" si="1"/>
        <v>589.84375</v>
      </c>
      <c r="L14" s="22">
        <f t="shared" si="2"/>
        <v>19464.84375</v>
      </c>
      <c r="M14" s="21">
        <f>'Reference Rates'!$B$19*G14/8</f>
        <v>1250</v>
      </c>
      <c r="N14" s="21">
        <f>I14*IFERROR(INDEX('Reference Rates'!$B$21:$B$22,MATCH(C14,'Reference Rates'!$A$21:$A$22,0)),0)</f>
        <v>0</v>
      </c>
      <c r="O14" s="23">
        <f>MIN('Reference Rates'!$B$30,MAX('Reference Rates'!$B$29,MROUND(L14,500)))</f>
        <v>19500</v>
      </c>
      <c r="P14" s="21">
        <f>O14*'Reference Rates'!$B$27</f>
        <v>975</v>
      </c>
      <c r="Q14" s="21">
        <f>MIN(MAX(L14,'Reference Rates'!$B$39),'Reference Rates'!$B$40)*'Reference Rates'!$B$37</f>
        <v>486.62109375</v>
      </c>
      <c r="R14" s="21">
        <f>MIN(L14,'Reference Rates'!$B$46)*IF(L14&gt;1500,'Reference Rates'!$B$43,'Reference Rates'!$B$44)</f>
        <v>200</v>
      </c>
      <c r="S14" s="22">
        <f t="shared" si="3"/>
        <v>1661.62109375</v>
      </c>
      <c r="T14" s="21">
        <f t="shared" si="4"/>
        <v>0</v>
      </c>
      <c r="U14" s="21">
        <f>IF(T14&lt;='Reference Rates'!$D$51,0,IF(T14&lt;='Reference Rates'!$D$52,'Reference Rates'!$B$51+(T14-'Reference Rates'!$D$51)*'Reference Rates'!$C$51,IF(T14&lt;='Reference Rates'!$D$53,'Reference Rates'!$B$52+(T14-'Reference Rates'!$D$52)*'Reference Rates'!$C$52,IF(T14&lt;='Reference Rates'!$D$54,'Reference Rates'!$B$53+(T14-'Reference Rates'!$D$53)*'Reference Rates'!$C$53,IF(T14&lt;='Reference Rates'!$D$55,'Reference Rates'!$B$54+(T14-'Reference Rates'!$D$54)*'Reference Rates'!$C$54,'Reference Rates'!$B$55+(T14-'Reference Rates'!$D$55)*'Reference Rates'!$C$55)))))</f>
        <v>0</v>
      </c>
      <c r="V14" s="22">
        <f t="shared" si="5"/>
        <v>1661.62109375</v>
      </c>
      <c r="W14" s="24">
        <f t="shared" si="6"/>
        <v>19053.22265625</v>
      </c>
      <c r="X14" s="25">
        <f>O14*'Reference Rates'!$B$28</f>
        <v>1950</v>
      </c>
      <c r="Y14" s="25">
        <f>IF(O14&lt;'Reference Rates'!$B$31,'Reference Rates'!$B$32,'Reference Rates'!$B$33)</f>
        <v>30</v>
      </c>
      <c r="Z14" s="25">
        <f>MIN(MAX(L14,'Reference Rates'!$B$39),'Reference Rates'!$B$40)*'Reference Rates'!$B$38</f>
        <v>486.62109375</v>
      </c>
      <c r="AA14" s="25">
        <f>MIN(L14,'Reference Rates'!$B$46)*'Reference Rates'!$B$45</f>
        <v>200</v>
      </c>
      <c r="AB14" s="26">
        <f t="shared" si="7"/>
        <v>2666.62109375</v>
      </c>
      <c r="AC14" s="27">
        <f t="shared" si="8"/>
        <v>23381.46484375</v>
      </c>
    </row>
    <row r="15" spans="1:29" x14ac:dyDescent="0.35">
      <c r="A15" s="42" t="str">
        <f>'Aug 2026'!A15</f>
        <v>EMP-010</v>
      </c>
      <c r="B15" s="42" t="str">
        <f>IF('Aug 2026'!B15="","",'Aug 2026'!B15)</f>
        <v/>
      </c>
      <c r="C15" s="42" t="str">
        <f>'Aug 2026'!C15</f>
        <v>Store</v>
      </c>
      <c r="D15" s="42" t="str">
        <f>'Aug 2026'!D15</f>
        <v>Section Attendant (Frozen / Egg)</v>
      </c>
      <c r="E15" s="43" t="str">
        <f>'Aug 2026'!E15</f>
        <v>Y</v>
      </c>
      <c r="F15" s="19">
        <f>'Reference Rates'!$E$15</f>
        <v>94.375</v>
      </c>
      <c r="G15" s="20">
        <v>208</v>
      </c>
      <c r="H15" s="20">
        <v>6</v>
      </c>
      <c r="I15" s="20">
        <v>0</v>
      </c>
      <c r="J15" s="21">
        <f t="shared" si="0"/>
        <v>19630</v>
      </c>
      <c r="K15" s="21">
        <f t="shared" si="1"/>
        <v>707.8125</v>
      </c>
      <c r="L15" s="22">
        <f t="shared" si="2"/>
        <v>20337.8125</v>
      </c>
      <c r="M15" s="21">
        <f>'Reference Rates'!$B$19*G15/8</f>
        <v>1300</v>
      </c>
      <c r="N15" s="21">
        <f>I15*IFERROR(INDEX('Reference Rates'!$B$21:$B$22,MATCH(C15,'Reference Rates'!$A$21:$A$22,0)),0)</f>
        <v>0</v>
      </c>
      <c r="O15" s="23">
        <f>MIN('Reference Rates'!$B$30,MAX('Reference Rates'!$B$29,MROUND(L15,500)))</f>
        <v>20500</v>
      </c>
      <c r="P15" s="21">
        <f>O15*'Reference Rates'!$B$27</f>
        <v>1025</v>
      </c>
      <c r="Q15" s="21">
        <f>MIN(MAX(L15,'Reference Rates'!$B$39),'Reference Rates'!$B$40)*'Reference Rates'!$B$37</f>
        <v>508.4453125</v>
      </c>
      <c r="R15" s="21">
        <f>MIN(L15,'Reference Rates'!$B$46)*IF(L15&gt;1500,'Reference Rates'!$B$43,'Reference Rates'!$B$44)</f>
        <v>200</v>
      </c>
      <c r="S15" s="22">
        <f t="shared" si="3"/>
        <v>1733.4453125</v>
      </c>
      <c r="T15" s="21">
        <f t="shared" si="4"/>
        <v>0</v>
      </c>
      <c r="U15" s="21">
        <f>IF(T15&lt;='Reference Rates'!$D$51,0,IF(T15&lt;='Reference Rates'!$D$52,'Reference Rates'!$B$51+(T15-'Reference Rates'!$D$51)*'Reference Rates'!$C$51,IF(T15&lt;='Reference Rates'!$D$53,'Reference Rates'!$B$52+(T15-'Reference Rates'!$D$52)*'Reference Rates'!$C$52,IF(T15&lt;='Reference Rates'!$D$54,'Reference Rates'!$B$53+(T15-'Reference Rates'!$D$53)*'Reference Rates'!$C$53,IF(T15&lt;='Reference Rates'!$D$55,'Reference Rates'!$B$54+(T15-'Reference Rates'!$D$54)*'Reference Rates'!$C$54,'Reference Rates'!$B$55+(T15-'Reference Rates'!$D$55)*'Reference Rates'!$C$55)))))</f>
        <v>0</v>
      </c>
      <c r="V15" s="22">
        <f t="shared" si="5"/>
        <v>1733.4453125</v>
      </c>
      <c r="W15" s="24">
        <f t="shared" si="6"/>
        <v>19904.3671875</v>
      </c>
      <c r="X15" s="25">
        <f>O15*'Reference Rates'!$B$28</f>
        <v>2050</v>
      </c>
      <c r="Y15" s="25">
        <f>IF(O15&lt;'Reference Rates'!$B$31,'Reference Rates'!$B$32,'Reference Rates'!$B$33)</f>
        <v>30</v>
      </c>
      <c r="Z15" s="25">
        <f>MIN(MAX(L15,'Reference Rates'!$B$39),'Reference Rates'!$B$40)*'Reference Rates'!$B$38</f>
        <v>508.4453125</v>
      </c>
      <c r="AA15" s="25">
        <f>MIN(L15,'Reference Rates'!$B$46)*'Reference Rates'!$B$45</f>
        <v>200</v>
      </c>
      <c r="AB15" s="26">
        <f t="shared" si="7"/>
        <v>2788.4453125</v>
      </c>
      <c r="AC15" s="27">
        <f t="shared" si="8"/>
        <v>24426.2578125</v>
      </c>
    </row>
    <row r="16" spans="1:29" x14ac:dyDescent="0.35">
      <c r="A16" s="42" t="str">
        <f>'Aug 2026'!A16</f>
        <v>EMP-011</v>
      </c>
      <c r="B16" s="42" t="str">
        <f>IF('Aug 2026'!B16="","",'Aug 2026'!B16)</f>
        <v/>
      </c>
      <c r="C16" s="42" t="str">
        <f>'Aug 2026'!C16</f>
        <v>Store</v>
      </c>
      <c r="D16" s="42" t="str">
        <f>'Aug 2026'!D16</f>
        <v>Section Attendant (Frozen / Egg)</v>
      </c>
      <c r="E16" s="43" t="str">
        <f>'Aug 2026'!E16</f>
        <v>Y</v>
      </c>
      <c r="F16" s="19">
        <f>'Reference Rates'!$E$15</f>
        <v>94.375</v>
      </c>
      <c r="G16" s="20">
        <v>208</v>
      </c>
      <c r="H16" s="20">
        <v>8</v>
      </c>
      <c r="I16" s="20">
        <v>0</v>
      </c>
      <c r="J16" s="21">
        <f t="shared" si="0"/>
        <v>19630</v>
      </c>
      <c r="K16" s="21">
        <f t="shared" si="1"/>
        <v>943.75</v>
      </c>
      <c r="L16" s="22">
        <f t="shared" si="2"/>
        <v>20573.75</v>
      </c>
      <c r="M16" s="21">
        <f>'Reference Rates'!$B$19*G16/8</f>
        <v>1300</v>
      </c>
      <c r="N16" s="21">
        <f>I16*IFERROR(INDEX('Reference Rates'!$B$21:$B$22,MATCH(C16,'Reference Rates'!$A$21:$A$22,0)),0)</f>
        <v>0</v>
      </c>
      <c r="O16" s="23">
        <f>MIN('Reference Rates'!$B$30,MAX('Reference Rates'!$B$29,MROUND(L16,500)))</f>
        <v>20500</v>
      </c>
      <c r="P16" s="21">
        <f>O16*'Reference Rates'!$B$27</f>
        <v>1025</v>
      </c>
      <c r="Q16" s="21">
        <f>MIN(MAX(L16,'Reference Rates'!$B$39),'Reference Rates'!$B$40)*'Reference Rates'!$B$37</f>
        <v>514.34375</v>
      </c>
      <c r="R16" s="21">
        <f>MIN(L16,'Reference Rates'!$B$46)*IF(L16&gt;1500,'Reference Rates'!$B$43,'Reference Rates'!$B$44)</f>
        <v>200</v>
      </c>
      <c r="S16" s="22">
        <f t="shared" si="3"/>
        <v>1739.34375</v>
      </c>
      <c r="T16" s="21">
        <f t="shared" si="4"/>
        <v>0</v>
      </c>
      <c r="U16" s="21">
        <f>IF(T16&lt;='Reference Rates'!$D$51,0,IF(T16&lt;='Reference Rates'!$D$52,'Reference Rates'!$B$51+(T16-'Reference Rates'!$D$51)*'Reference Rates'!$C$51,IF(T16&lt;='Reference Rates'!$D$53,'Reference Rates'!$B$52+(T16-'Reference Rates'!$D$52)*'Reference Rates'!$C$52,IF(T16&lt;='Reference Rates'!$D$54,'Reference Rates'!$B$53+(T16-'Reference Rates'!$D$53)*'Reference Rates'!$C$53,IF(T16&lt;='Reference Rates'!$D$55,'Reference Rates'!$B$54+(T16-'Reference Rates'!$D$54)*'Reference Rates'!$C$54,'Reference Rates'!$B$55+(T16-'Reference Rates'!$D$55)*'Reference Rates'!$C$55)))))</f>
        <v>0</v>
      </c>
      <c r="V16" s="22">
        <f t="shared" si="5"/>
        <v>1739.34375</v>
      </c>
      <c r="W16" s="24">
        <f t="shared" si="6"/>
        <v>20134.40625</v>
      </c>
      <c r="X16" s="25">
        <f>O16*'Reference Rates'!$B$28</f>
        <v>2050</v>
      </c>
      <c r="Y16" s="25">
        <f>IF(O16&lt;'Reference Rates'!$B$31,'Reference Rates'!$B$32,'Reference Rates'!$B$33)</f>
        <v>30</v>
      </c>
      <c r="Z16" s="25">
        <f>MIN(MAX(L16,'Reference Rates'!$B$39),'Reference Rates'!$B$40)*'Reference Rates'!$B$38</f>
        <v>514.34375</v>
      </c>
      <c r="AA16" s="25">
        <f>MIN(L16,'Reference Rates'!$B$46)*'Reference Rates'!$B$45</f>
        <v>200</v>
      </c>
      <c r="AB16" s="26">
        <f t="shared" si="7"/>
        <v>2794.34375</v>
      </c>
      <c r="AC16" s="27">
        <f t="shared" si="8"/>
        <v>24668.09375</v>
      </c>
    </row>
    <row r="17" spans="1:29" x14ac:dyDescent="0.35">
      <c r="A17" s="42" t="str">
        <f>'Aug 2026'!A17</f>
        <v>EMP-012</v>
      </c>
      <c r="B17" s="42" t="str">
        <f>IF('Aug 2026'!B17="","",'Aug 2026'!B17)</f>
        <v/>
      </c>
      <c r="C17" s="42" t="str">
        <f>'Aug 2026'!C17</f>
        <v>Store</v>
      </c>
      <c r="D17" s="42" t="str">
        <f>'Aug 2026'!D17</f>
        <v>Section Attendant (Frozen / Egg)</v>
      </c>
      <c r="E17" s="43" t="str">
        <f>'Aug 2026'!E17</f>
        <v>Y</v>
      </c>
      <c r="F17" s="19">
        <f>'Reference Rates'!$E$15</f>
        <v>94.375</v>
      </c>
      <c r="G17" s="20">
        <v>200</v>
      </c>
      <c r="H17" s="20">
        <v>6</v>
      </c>
      <c r="I17" s="20">
        <v>0</v>
      </c>
      <c r="J17" s="21">
        <f t="shared" si="0"/>
        <v>18875</v>
      </c>
      <c r="K17" s="21">
        <f t="shared" si="1"/>
        <v>707.8125</v>
      </c>
      <c r="L17" s="22">
        <f t="shared" si="2"/>
        <v>19582.8125</v>
      </c>
      <c r="M17" s="21">
        <f>'Reference Rates'!$B$19*G17/8</f>
        <v>1250</v>
      </c>
      <c r="N17" s="21">
        <f>I17*IFERROR(INDEX('Reference Rates'!$B$21:$B$22,MATCH(C17,'Reference Rates'!$A$21:$A$22,0)),0)</f>
        <v>0</v>
      </c>
      <c r="O17" s="23">
        <f>MIN('Reference Rates'!$B$30,MAX('Reference Rates'!$B$29,MROUND(L17,500)))</f>
        <v>19500</v>
      </c>
      <c r="P17" s="21">
        <f>O17*'Reference Rates'!$B$27</f>
        <v>975</v>
      </c>
      <c r="Q17" s="21">
        <f>MIN(MAX(L17,'Reference Rates'!$B$39),'Reference Rates'!$B$40)*'Reference Rates'!$B$37</f>
        <v>489.5703125</v>
      </c>
      <c r="R17" s="21">
        <f>MIN(L17,'Reference Rates'!$B$46)*IF(L17&gt;1500,'Reference Rates'!$B$43,'Reference Rates'!$B$44)</f>
        <v>200</v>
      </c>
      <c r="S17" s="22">
        <f t="shared" si="3"/>
        <v>1664.5703125</v>
      </c>
      <c r="T17" s="21">
        <f t="shared" si="4"/>
        <v>0</v>
      </c>
      <c r="U17" s="21">
        <f>IF(T17&lt;='Reference Rates'!$D$51,0,IF(T17&lt;='Reference Rates'!$D$52,'Reference Rates'!$B$51+(T17-'Reference Rates'!$D$51)*'Reference Rates'!$C$51,IF(T17&lt;='Reference Rates'!$D$53,'Reference Rates'!$B$52+(T17-'Reference Rates'!$D$52)*'Reference Rates'!$C$52,IF(T17&lt;='Reference Rates'!$D$54,'Reference Rates'!$B$53+(T17-'Reference Rates'!$D$53)*'Reference Rates'!$C$53,IF(T17&lt;='Reference Rates'!$D$55,'Reference Rates'!$B$54+(T17-'Reference Rates'!$D$54)*'Reference Rates'!$C$54,'Reference Rates'!$B$55+(T17-'Reference Rates'!$D$55)*'Reference Rates'!$C$55)))))</f>
        <v>0</v>
      </c>
      <c r="V17" s="22">
        <f t="shared" si="5"/>
        <v>1664.5703125</v>
      </c>
      <c r="W17" s="24">
        <f t="shared" si="6"/>
        <v>19168.2421875</v>
      </c>
      <c r="X17" s="25">
        <f>O17*'Reference Rates'!$B$28</f>
        <v>1950</v>
      </c>
      <c r="Y17" s="25">
        <f>IF(O17&lt;'Reference Rates'!$B$31,'Reference Rates'!$B$32,'Reference Rates'!$B$33)</f>
        <v>30</v>
      </c>
      <c r="Z17" s="25">
        <f>MIN(MAX(L17,'Reference Rates'!$B$39),'Reference Rates'!$B$40)*'Reference Rates'!$B$38</f>
        <v>489.5703125</v>
      </c>
      <c r="AA17" s="25">
        <f>MIN(L17,'Reference Rates'!$B$46)*'Reference Rates'!$B$45</f>
        <v>200</v>
      </c>
      <c r="AB17" s="26">
        <f t="shared" si="7"/>
        <v>2669.5703125</v>
      </c>
      <c r="AC17" s="27">
        <f t="shared" si="8"/>
        <v>23502.3828125</v>
      </c>
    </row>
    <row r="18" spans="1:29" x14ac:dyDescent="0.35">
      <c r="A18" s="42" t="str">
        <f>'Aug 2026'!A18</f>
        <v>EMP-013</v>
      </c>
      <c r="B18" s="42" t="str">
        <f>IF('Aug 2026'!B18="","",'Aug 2026'!B18)</f>
        <v>John Carlo Escartin</v>
      </c>
      <c r="C18" s="42" t="str">
        <f>'Aug 2026'!C18</f>
        <v>Warehouse</v>
      </c>
      <c r="D18" s="42" t="str">
        <f>'Aug 2026'!D18</f>
        <v>Stock Clerk</v>
      </c>
      <c r="E18" s="43" t="str">
        <f>'Aug 2026'!E18</f>
        <v>Y</v>
      </c>
      <c r="F18" s="19">
        <f>'Reference Rates'!$E$15</f>
        <v>94.375</v>
      </c>
      <c r="G18" s="20">
        <v>208</v>
      </c>
      <c r="H18" s="20">
        <v>11</v>
      </c>
      <c r="I18" s="20">
        <v>0</v>
      </c>
      <c r="J18" s="21">
        <f t="shared" si="0"/>
        <v>19630</v>
      </c>
      <c r="K18" s="21">
        <f t="shared" si="1"/>
        <v>1297.65625</v>
      </c>
      <c r="L18" s="22">
        <f t="shared" si="2"/>
        <v>20927.65625</v>
      </c>
      <c r="M18" s="21">
        <f>'Reference Rates'!$B$19*G18/8</f>
        <v>1300</v>
      </c>
      <c r="N18" s="21">
        <f>I18*IFERROR(INDEX('Reference Rates'!$B$21:$B$22,MATCH(C18,'Reference Rates'!$A$21:$A$22,0)),0)</f>
        <v>0</v>
      </c>
      <c r="O18" s="23">
        <f>MIN('Reference Rates'!$B$30,MAX('Reference Rates'!$B$29,MROUND(L18,500)))</f>
        <v>21000</v>
      </c>
      <c r="P18" s="21">
        <f>O18*'Reference Rates'!$B$27</f>
        <v>1050</v>
      </c>
      <c r="Q18" s="21">
        <f>MIN(MAX(L18,'Reference Rates'!$B$39),'Reference Rates'!$B$40)*'Reference Rates'!$B$37</f>
        <v>523.19140625</v>
      </c>
      <c r="R18" s="21">
        <f>MIN(L18,'Reference Rates'!$B$46)*IF(L18&gt;1500,'Reference Rates'!$B$43,'Reference Rates'!$B$44)</f>
        <v>200</v>
      </c>
      <c r="S18" s="22">
        <f t="shared" si="3"/>
        <v>1773.19140625</v>
      </c>
      <c r="T18" s="21">
        <f t="shared" si="4"/>
        <v>0</v>
      </c>
      <c r="U18" s="21">
        <f>IF(T18&lt;='Reference Rates'!$D$51,0,IF(T18&lt;='Reference Rates'!$D$52,'Reference Rates'!$B$51+(T18-'Reference Rates'!$D$51)*'Reference Rates'!$C$51,IF(T18&lt;='Reference Rates'!$D$53,'Reference Rates'!$B$52+(T18-'Reference Rates'!$D$52)*'Reference Rates'!$C$52,IF(T18&lt;='Reference Rates'!$D$54,'Reference Rates'!$B$53+(T18-'Reference Rates'!$D$53)*'Reference Rates'!$C$53,IF(T18&lt;='Reference Rates'!$D$55,'Reference Rates'!$B$54+(T18-'Reference Rates'!$D$54)*'Reference Rates'!$C$54,'Reference Rates'!$B$55+(T18-'Reference Rates'!$D$55)*'Reference Rates'!$C$55)))))</f>
        <v>0</v>
      </c>
      <c r="V18" s="22">
        <f t="shared" si="5"/>
        <v>1773.19140625</v>
      </c>
      <c r="W18" s="24">
        <f t="shared" si="6"/>
        <v>20454.46484375</v>
      </c>
      <c r="X18" s="25">
        <f>O18*'Reference Rates'!$B$28</f>
        <v>2100</v>
      </c>
      <c r="Y18" s="25">
        <f>IF(O18&lt;'Reference Rates'!$B$31,'Reference Rates'!$B$32,'Reference Rates'!$B$33)</f>
        <v>30</v>
      </c>
      <c r="Z18" s="25">
        <f>MIN(MAX(L18,'Reference Rates'!$B$39),'Reference Rates'!$B$40)*'Reference Rates'!$B$38</f>
        <v>523.19140625</v>
      </c>
      <c r="AA18" s="25">
        <f>MIN(L18,'Reference Rates'!$B$46)*'Reference Rates'!$B$45</f>
        <v>200</v>
      </c>
      <c r="AB18" s="26">
        <f t="shared" si="7"/>
        <v>2853.19140625</v>
      </c>
      <c r="AC18" s="27">
        <f t="shared" si="8"/>
        <v>25080.84765625</v>
      </c>
    </row>
    <row r="19" spans="1:29" x14ac:dyDescent="0.35">
      <c r="A19" s="42" t="str">
        <f>'Aug 2026'!A19</f>
        <v>EMP-014</v>
      </c>
      <c r="B19" s="42" t="str">
        <f>IF('Aug 2026'!B19="","",'Aug 2026'!B19)</f>
        <v/>
      </c>
      <c r="C19" s="42" t="str">
        <f>'Aug 2026'!C19</f>
        <v>Warehouse</v>
      </c>
      <c r="D19" s="42" t="str">
        <f>'Aug 2026'!D19</f>
        <v>Stock Clerk</v>
      </c>
      <c r="E19" s="43" t="str">
        <f>'Aug 2026'!E19</f>
        <v>Y</v>
      </c>
      <c r="F19" s="19">
        <f>'Reference Rates'!$E$15</f>
        <v>94.375</v>
      </c>
      <c r="G19" s="20">
        <v>208</v>
      </c>
      <c r="H19" s="20">
        <v>12</v>
      </c>
      <c r="I19" s="20">
        <v>0</v>
      </c>
      <c r="J19" s="21">
        <f t="shared" si="0"/>
        <v>19630</v>
      </c>
      <c r="K19" s="21">
        <f t="shared" si="1"/>
        <v>1415.625</v>
      </c>
      <c r="L19" s="22">
        <f t="shared" si="2"/>
        <v>21045.625</v>
      </c>
      <c r="M19" s="21">
        <f>'Reference Rates'!$B$19*G19/8</f>
        <v>1300</v>
      </c>
      <c r="N19" s="21">
        <f>I19*IFERROR(INDEX('Reference Rates'!$B$21:$B$22,MATCH(C19,'Reference Rates'!$A$21:$A$22,0)),0)</f>
        <v>0</v>
      </c>
      <c r="O19" s="23">
        <f>MIN('Reference Rates'!$B$30,MAX('Reference Rates'!$B$29,MROUND(L19,500)))</f>
        <v>21000</v>
      </c>
      <c r="P19" s="21">
        <f>O19*'Reference Rates'!$B$27</f>
        <v>1050</v>
      </c>
      <c r="Q19" s="21">
        <f>MIN(MAX(L19,'Reference Rates'!$B$39),'Reference Rates'!$B$40)*'Reference Rates'!$B$37</f>
        <v>526.140625</v>
      </c>
      <c r="R19" s="21">
        <f>MIN(L19,'Reference Rates'!$B$46)*IF(L19&gt;1500,'Reference Rates'!$B$43,'Reference Rates'!$B$44)</f>
        <v>200</v>
      </c>
      <c r="S19" s="22">
        <f t="shared" si="3"/>
        <v>1776.140625</v>
      </c>
      <c r="T19" s="21">
        <f t="shared" si="4"/>
        <v>0</v>
      </c>
      <c r="U19" s="21">
        <f>IF(T19&lt;='Reference Rates'!$D$51,0,IF(T19&lt;='Reference Rates'!$D$52,'Reference Rates'!$B$51+(T19-'Reference Rates'!$D$51)*'Reference Rates'!$C$51,IF(T19&lt;='Reference Rates'!$D$53,'Reference Rates'!$B$52+(T19-'Reference Rates'!$D$52)*'Reference Rates'!$C$52,IF(T19&lt;='Reference Rates'!$D$54,'Reference Rates'!$B$53+(T19-'Reference Rates'!$D$53)*'Reference Rates'!$C$53,IF(T19&lt;='Reference Rates'!$D$55,'Reference Rates'!$B$54+(T19-'Reference Rates'!$D$54)*'Reference Rates'!$C$54,'Reference Rates'!$B$55+(T19-'Reference Rates'!$D$55)*'Reference Rates'!$C$55)))))</f>
        <v>0</v>
      </c>
      <c r="V19" s="22">
        <f t="shared" si="5"/>
        <v>1776.140625</v>
      </c>
      <c r="W19" s="24">
        <f t="shared" si="6"/>
        <v>20569.484375</v>
      </c>
      <c r="X19" s="25">
        <f>O19*'Reference Rates'!$B$28</f>
        <v>2100</v>
      </c>
      <c r="Y19" s="25">
        <f>IF(O19&lt;'Reference Rates'!$B$31,'Reference Rates'!$B$32,'Reference Rates'!$B$33)</f>
        <v>30</v>
      </c>
      <c r="Z19" s="25">
        <f>MIN(MAX(L19,'Reference Rates'!$B$39),'Reference Rates'!$B$40)*'Reference Rates'!$B$38</f>
        <v>526.140625</v>
      </c>
      <c r="AA19" s="25">
        <f>MIN(L19,'Reference Rates'!$B$46)*'Reference Rates'!$B$45</f>
        <v>200</v>
      </c>
      <c r="AB19" s="26">
        <f t="shared" si="7"/>
        <v>2856.140625</v>
      </c>
      <c r="AC19" s="27">
        <f t="shared" si="8"/>
        <v>25201.765625</v>
      </c>
    </row>
    <row r="20" spans="1:29" x14ac:dyDescent="0.35">
      <c r="A20" s="42" t="str">
        <f>'Aug 2026'!A20</f>
        <v>EMP-015</v>
      </c>
      <c r="B20" s="42" t="str">
        <f>IF('Aug 2026'!B20="","",'Aug 2026'!B20)</f>
        <v/>
      </c>
      <c r="C20" s="42" t="str">
        <f>'Aug 2026'!C20</f>
        <v>Warehouse</v>
      </c>
      <c r="D20" s="42" t="str">
        <f>'Aug 2026'!D20</f>
        <v>Stock Clerk</v>
      </c>
      <c r="E20" s="43" t="str">
        <f>'Aug 2026'!E20</f>
        <v>Y</v>
      </c>
      <c r="F20" s="19">
        <f>'Reference Rates'!$E$15</f>
        <v>94.375</v>
      </c>
      <c r="G20" s="20">
        <v>208</v>
      </c>
      <c r="H20" s="20">
        <v>11</v>
      </c>
      <c r="I20" s="20">
        <v>0</v>
      </c>
      <c r="J20" s="21">
        <f t="shared" si="0"/>
        <v>19630</v>
      </c>
      <c r="K20" s="21">
        <f t="shared" si="1"/>
        <v>1297.65625</v>
      </c>
      <c r="L20" s="22">
        <f t="shared" si="2"/>
        <v>20927.65625</v>
      </c>
      <c r="M20" s="21">
        <f>'Reference Rates'!$B$19*G20/8</f>
        <v>1300</v>
      </c>
      <c r="N20" s="21">
        <f>I20*IFERROR(INDEX('Reference Rates'!$B$21:$B$22,MATCH(C20,'Reference Rates'!$A$21:$A$22,0)),0)</f>
        <v>0</v>
      </c>
      <c r="O20" s="23">
        <f>MIN('Reference Rates'!$B$30,MAX('Reference Rates'!$B$29,MROUND(L20,500)))</f>
        <v>21000</v>
      </c>
      <c r="P20" s="21">
        <f>O20*'Reference Rates'!$B$27</f>
        <v>1050</v>
      </c>
      <c r="Q20" s="21">
        <f>MIN(MAX(L20,'Reference Rates'!$B$39),'Reference Rates'!$B$40)*'Reference Rates'!$B$37</f>
        <v>523.19140625</v>
      </c>
      <c r="R20" s="21">
        <f>MIN(L20,'Reference Rates'!$B$46)*IF(L20&gt;1500,'Reference Rates'!$B$43,'Reference Rates'!$B$44)</f>
        <v>200</v>
      </c>
      <c r="S20" s="22">
        <f t="shared" si="3"/>
        <v>1773.19140625</v>
      </c>
      <c r="T20" s="21">
        <f t="shared" si="4"/>
        <v>0</v>
      </c>
      <c r="U20" s="21">
        <f>IF(T20&lt;='Reference Rates'!$D$51,0,IF(T20&lt;='Reference Rates'!$D$52,'Reference Rates'!$B$51+(T20-'Reference Rates'!$D$51)*'Reference Rates'!$C$51,IF(T20&lt;='Reference Rates'!$D$53,'Reference Rates'!$B$52+(T20-'Reference Rates'!$D$52)*'Reference Rates'!$C$52,IF(T20&lt;='Reference Rates'!$D$54,'Reference Rates'!$B$53+(T20-'Reference Rates'!$D$53)*'Reference Rates'!$C$53,IF(T20&lt;='Reference Rates'!$D$55,'Reference Rates'!$B$54+(T20-'Reference Rates'!$D$54)*'Reference Rates'!$C$54,'Reference Rates'!$B$55+(T20-'Reference Rates'!$D$55)*'Reference Rates'!$C$55)))))</f>
        <v>0</v>
      </c>
      <c r="V20" s="22">
        <f t="shared" si="5"/>
        <v>1773.19140625</v>
      </c>
      <c r="W20" s="24">
        <f t="shared" si="6"/>
        <v>20454.46484375</v>
      </c>
      <c r="X20" s="25">
        <f>O20*'Reference Rates'!$B$28</f>
        <v>2100</v>
      </c>
      <c r="Y20" s="25">
        <f>IF(O20&lt;'Reference Rates'!$B$31,'Reference Rates'!$B$32,'Reference Rates'!$B$33)</f>
        <v>30</v>
      </c>
      <c r="Z20" s="25">
        <f>MIN(MAX(L20,'Reference Rates'!$B$39),'Reference Rates'!$B$40)*'Reference Rates'!$B$38</f>
        <v>523.19140625</v>
      </c>
      <c r="AA20" s="25">
        <f>MIN(L20,'Reference Rates'!$B$46)*'Reference Rates'!$B$45</f>
        <v>200</v>
      </c>
      <c r="AB20" s="26">
        <f t="shared" si="7"/>
        <v>2853.19140625</v>
      </c>
      <c r="AC20" s="27">
        <f t="shared" si="8"/>
        <v>25080.84765625</v>
      </c>
    </row>
    <row r="21" spans="1:29" x14ac:dyDescent="0.35">
      <c r="A21" s="42" t="str">
        <f>'Aug 2026'!A21</f>
        <v>EMP-016</v>
      </c>
      <c r="B21" s="42" t="str">
        <f>IF('Aug 2026'!B21="","",'Aug 2026'!B21)</f>
        <v/>
      </c>
      <c r="C21" s="42" t="str">
        <f>'Aug 2026'!C21</f>
        <v>Warehouse</v>
      </c>
      <c r="D21" s="42" t="str">
        <f>'Aug 2026'!D21</f>
        <v>Warehouse Helper / Loader</v>
      </c>
      <c r="E21" s="43" t="str">
        <f>'Aug 2026'!E21</f>
        <v>Y</v>
      </c>
      <c r="F21" s="19">
        <f>'Reference Rates'!$E$15</f>
        <v>94.375</v>
      </c>
      <c r="G21" s="20">
        <v>208</v>
      </c>
      <c r="H21" s="20">
        <v>0</v>
      </c>
      <c r="I21" s="20">
        <v>0</v>
      </c>
      <c r="J21" s="21">
        <f t="shared" si="0"/>
        <v>19630</v>
      </c>
      <c r="K21" s="21">
        <f t="shared" si="1"/>
        <v>0</v>
      </c>
      <c r="L21" s="22">
        <f t="shared" si="2"/>
        <v>19630</v>
      </c>
      <c r="M21" s="21">
        <f>'Reference Rates'!$B$19*G21/8</f>
        <v>1300</v>
      </c>
      <c r="N21" s="21">
        <f>I21*IFERROR(INDEX('Reference Rates'!$B$21:$B$22,MATCH(C21,'Reference Rates'!$A$21:$A$22,0)),0)</f>
        <v>0</v>
      </c>
      <c r="O21" s="23">
        <f>MIN('Reference Rates'!$B$30,MAX('Reference Rates'!$B$29,MROUND(L21,500)))</f>
        <v>19500</v>
      </c>
      <c r="P21" s="21">
        <f>O21*'Reference Rates'!$B$27</f>
        <v>975</v>
      </c>
      <c r="Q21" s="21">
        <f>MIN(MAX(L21,'Reference Rates'!$B$39),'Reference Rates'!$B$40)*'Reference Rates'!$B$37</f>
        <v>490.75</v>
      </c>
      <c r="R21" s="21">
        <f>MIN(L21,'Reference Rates'!$B$46)*IF(L21&gt;1500,'Reference Rates'!$B$43,'Reference Rates'!$B$44)</f>
        <v>200</v>
      </c>
      <c r="S21" s="22">
        <f t="shared" si="3"/>
        <v>1665.75</v>
      </c>
      <c r="T21" s="21">
        <f t="shared" si="4"/>
        <v>0</v>
      </c>
      <c r="U21" s="21">
        <f>IF(T21&lt;='Reference Rates'!$D$51,0,IF(T21&lt;='Reference Rates'!$D$52,'Reference Rates'!$B$51+(T21-'Reference Rates'!$D$51)*'Reference Rates'!$C$51,IF(T21&lt;='Reference Rates'!$D$53,'Reference Rates'!$B$52+(T21-'Reference Rates'!$D$52)*'Reference Rates'!$C$52,IF(T21&lt;='Reference Rates'!$D$54,'Reference Rates'!$B$53+(T21-'Reference Rates'!$D$53)*'Reference Rates'!$C$53,IF(T21&lt;='Reference Rates'!$D$55,'Reference Rates'!$B$54+(T21-'Reference Rates'!$D$54)*'Reference Rates'!$C$54,'Reference Rates'!$B$55+(T21-'Reference Rates'!$D$55)*'Reference Rates'!$C$55)))))</f>
        <v>0</v>
      </c>
      <c r="V21" s="22">
        <f t="shared" si="5"/>
        <v>1665.75</v>
      </c>
      <c r="W21" s="24">
        <f t="shared" si="6"/>
        <v>19264.25</v>
      </c>
      <c r="X21" s="25">
        <f>O21*'Reference Rates'!$B$28</f>
        <v>1950</v>
      </c>
      <c r="Y21" s="25">
        <f>IF(O21&lt;'Reference Rates'!$B$31,'Reference Rates'!$B$32,'Reference Rates'!$B$33)</f>
        <v>30</v>
      </c>
      <c r="Z21" s="25">
        <f>MIN(MAX(L21,'Reference Rates'!$B$39),'Reference Rates'!$B$40)*'Reference Rates'!$B$38</f>
        <v>490.75</v>
      </c>
      <c r="AA21" s="25">
        <f>MIN(L21,'Reference Rates'!$B$46)*'Reference Rates'!$B$45</f>
        <v>200</v>
      </c>
      <c r="AB21" s="26">
        <f t="shared" si="7"/>
        <v>2670.75</v>
      </c>
      <c r="AC21" s="27">
        <f t="shared" si="8"/>
        <v>23600.75</v>
      </c>
    </row>
    <row r="22" spans="1:29" x14ac:dyDescent="0.35">
      <c r="A22" s="42" t="str">
        <f>'Aug 2026'!A22</f>
        <v>EMP-017</v>
      </c>
      <c r="B22" s="42" t="str">
        <f>IF('Aug 2026'!B22="","",'Aug 2026'!B22)</f>
        <v/>
      </c>
      <c r="C22" s="42" t="str">
        <f>'Aug 2026'!C22</f>
        <v>Warehouse</v>
      </c>
      <c r="D22" s="42" t="str">
        <f>'Aug 2026'!D22</f>
        <v>Warehouse Helper / Loader</v>
      </c>
      <c r="E22" s="43" t="str">
        <f>'Aug 2026'!E22</f>
        <v>Y</v>
      </c>
      <c r="F22" s="19">
        <f>'Reference Rates'!$E$15</f>
        <v>94.375</v>
      </c>
      <c r="G22" s="20">
        <v>200</v>
      </c>
      <c r="H22" s="20">
        <v>0</v>
      </c>
      <c r="I22" s="20">
        <v>0</v>
      </c>
      <c r="J22" s="21">
        <f t="shared" si="0"/>
        <v>18875</v>
      </c>
      <c r="K22" s="21">
        <f t="shared" si="1"/>
        <v>0</v>
      </c>
      <c r="L22" s="22">
        <f t="shared" si="2"/>
        <v>18875</v>
      </c>
      <c r="M22" s="21">
        <f>'Reference Rates'!$B$19*G22/8</f>
        <v>1250</v>
      </c>
      <c r="N22" s="21">
        <f>I22*IFERROR(INDEX('Reference Rates'!$B$21:$B$22,MATCH(C22,'Reference Rates'!$A$21:$A$22,0)),0)</f>
        <v>0</v>
      </c>
      <c r="O22" s="23">
        <f>MIN('Reference Rates'!$B$30,MAX('Reference Rates'!$B$29,MROUND(L22,500)))</f>
        <v>19000</v>
      </c>
      <c r="P22" s="21">
        <f>O22*'Reference Rates'!$B$27</f>
        <v>950</v>
      </c>
      <c r="Q22" s="21">
        <f>MIN(MAX(L22,'Reference Rates'!$B$39),'Reference Rates'!$B$40)*'Reference Rates'!$B$37</f>
        <v>471.875</v>
      </c>
      <c r="R22" s="21">
        <f>MIN(L22,'Reference Rates'!$B$46)*IF(L22&gt;1500,'Reference Rates'!$B$43,'Reference Rates'!$B$44)</f>
        <v>200</v>
      </c>
      <c r="S22" s="22">
        <f t="shared" si="3"/>
        <v>1621.875</v>
      </c>
      <c r="T22" s="21">
        <f t="shared" si="4"/>
        <v>0</v>
      </c>
      <c r="U22" s="21">
        <f>IF(T22&lt;='Reference Rates'!$D$51,0,IF(T22&lt;='Reference Rates'!$D$52,'Reference Rates'!$B$51+(T22-'Reference Rates'!$D$51)*'Reference Rates'!$C$51,IF(T22&lt;='Reference Rates'!$D$53,'Reference Rates'!$B$52+(T22-'Reference Rates'!$D$52)*'Reference Rates'!$C$52,IF(T22&lt;='Reference Rates'!$D$54,'Reference Rates'!$B$53+(T22-'Reference Rates'!$D$53)*'Reference Rates'!$C$53,IF(T22&lt;='Reference Rates'!$D$55,'Reference Rates'!$B$54+(T22-'Reference Rates'!$D$54)*'Reference Rates'!$C$54,'Reference Rates'!$B$55+(T22-'Reference Rates'!$D$55)*'Reference Rates'!$C$55)))))</f>
        <v>0</v>
      </c>
      <c r="V22" s="22">
        <f t="shared" si="5"/>
        <v>1621.875</v>
      </c>
      <c r="W22" s="24">
        <f t="shared" si="6"/>
        <v>18503.125</v>
      </c>
      <c r="X22" s="25">
        <f>O22*'Reference Rates'!$B$28</f>
        <v>1900</v>
      </c>
      <c r="Y22" s="25">
        <f>IF(O22&lt;'Reference Rates'!$B$31,'Reference Rates'!$B$32,'Reference Rates'!$B$33)</f>
        <v>30</v>
      </c>
      <c r="Z22" s="25">
        <f>MIN(MAX(L22,'Reference Rates'!$B$39),'Reference Rates'!$B$40)*'Reference Rates'!$B$38</f>
        <v>471.875</v>
      </c>
      <c r="AA22" s="25">
        <f>MIN(L22,'Reference Rates'!$B$46)*'Reference Rates'!$B$45</f>
        <v>200</v>
      </c>
      <c r="AB22" s="26">
        <f t="shared" si="7"/>
        <v>2601.875</v>
      </c>
      <c r="AC22" s="27">
        <f t="shared" si="8"/>
        <v>22726.875</v>
      </c>
    </row>
    <row r="23" spans="1:29" x14ac:dyDescent="0.35">
      <c r="A23" s="42" t="str">
        <f>'Aug 2026'!A23</f>
        <v>EMP-018</v>
      </c>
      <c r="B23" s="42" t="str">
        <f>IF('Aug 2026'!B23="","",'Aug 2026'!B23)</f>
        <v/>
      </c>
      <c r="C23" s="42" t="str">
        <f>'Aug 2026'!C23</f>
        <v>Warehouse</v>
      </c>
      <c r="D23" s="42" t="str">
        <f>'Aug 2026'!D23</f>
        <v>Warehouse Helper / Loader</v>
      </c>
      <c r="E23" s="43" t="str">
        <f>'Aug 2026'!E23</f>
        <v>Y</v>
      </c>
      <c r="F23" s="19">
        <f>'Reference Rates'!$E$15</f>
        <v>94.375</v>
      </c>
      <c r="G23" s="20">
        <v>208</v>
      </c>
      <c r="H23" s="20">
        <v>11</v>
      </c>
      <c r="I23" s="20">
        <v>0</v>
      </c>
      <c r="J23" s="21">
        <f t="shared" si="0"/>
        <v>19630</v>
      </c>
      <c r="K23" s="21">
        <f t="shared" si="1"/>
        <v>1297.65625</v>
      </c>
      <c r="L23" s="22">
        <f t="shared" si="2"/>
        <v>20927.65625</v>
      </c>
      <c r="M23" s="21">
        <f>'Reference Rates'!$B$19*G23/8</f>
        <v>1300</v>
      </c>
      <c r="N23" s="21">
        <f>I23*IFERROR(INDEX('Reference Rates'!$B$21:$B$22,MATCH(C23,'Reference Rates'!$A$21:$A$22,0)),0)</f>
        <v>0</v>
      </c>
      <c r="O23" s="23">
        <f>MIN('Reference Rates'!$B$30,MAX('Reference Rates'!$B$29,MROUND(L23,500)))</f>
        <v>21000</v>
      </c>
      <c r="P23" s="21">
        <f>O23*'Reference Rates'!$B$27</f>
        <v>1050</v>
      </c>
      <c r="Q23" s="21">
        <f>MIN(MAX(L23,'Reference Rates'!$B$39),'Reference Rates'!$B$40)*'Reference Rates'!$B$37</f>
        <v>523.19140625</v>
      </c>
      <c r="R23" s="21">
        <f>MIN(L23,'Reference Rates'!$B$46)*IF(L23&gt;1500,'Reference Rates'!$B$43,'Reference Rates'!$B$44)</f>
        <v>200</v>
      </c>
      <c r="S23" s="22">
        <f t="shared" si="3"/>
        <v>1773.19140625</v>
      </c>
      <c r="T23" s="21">
        <f t="shared" si="4"/>
        <v>0</v>
      </c>
      <c r="U23" s="21">
        <f>IF(T23&lt;='Reference Rates'!$D$51,0,IF(T23&lt;='Reference Rates'!$D$52,'Reference Rates'!$B$51+(T23-'Reference Rates'!$D$51)*'Reference Rates'!$C$51,IF(T23&lt;='Reference Rates'!$D$53,'Reference Rates'!$B$52+(T23-'Reference Rates'!$D$52)*'Reference Rates'!$C$52,IF(T23&lt;='Reference Rates'!$D$54,'Reference Rates'!$B$53+(T23-'Reference Rates'!$D$53)*'Reference Rates'!$C$53,IF(T23&lt;='Reference Rates'!$D$55,'Reference Rates'!$B$54+(T23-'Reference Rates'!$D$54)*'Reference Rates'!$C$54,'Reference Rates'!$B$55+(T23-'Reference Rates'!$D$55)*'Reference Rates'!$C$55)))))</f>
        <v>0</v>
      </c>
      <c r="V23" s="22">
        <f t="shared" si="5"/>
        <v>1773.19140625</v>
      </c>
      <c r="W23" s="24">
        <f t="shared" si="6"/>
        <v>20454.46484375</v>
      </c>
      <c r="X23" s="25">
        <f>O23*'Reference Rates'!$B$28</f>
        <v>2100</v>
      </c>
      <c r="Y23" s="25">
        <f>IF(O23&lt;'Reference Rates'!$B$31,'Reference Rates'!$B$32,'Reference Rates'!$B$33)</f>
        <v>30</v>
      </c>
      <c r="Z23" s="25">
        <f>MIN(MAX(L23,'Reference Rates'!$B$39),'Reference Rates'!$B$40)*'Reference Rates'!$B$38</f>
        <v>523.19140625</v>
      </c>
      <c r="AA23" s="25">
        <f>MIN(L23,'Reference Rates'!$B$46)*'Reference Rates'!$B$45</f>
        <v>200</v>
      </c>
      <c r="AB23" s="26">
        <f t="shared" si="7"/>
        <v>2853.19140625</v>
      </c>
      <c r="AC23" s="27">
        <f t="shared" si="8"/>
        <v>25080.84765625</v>
      </c>
    </row>
    <row r="24" spans="1:29" x14ac:dyDescent="0.35">
      <c r="A24" s="42" t="str">
        <f>'Aug 2026'!A24</f>
        <v>EMP-019</v>
      </c>
      <c r="B24" s="42" t="str">
        <f>IF('Aug 2026'!B24="","",'Aug 2026'!B24)</f>
        <v/>
      </c>
      <c r="C24" s="42" t="str">
        <f>'Aug 2026'!C24</f>
        <v>Warehouse</v>
      </c>
      <c r="D24" s="42" t="str">
        <f>'Aug 2026'!D24</f>
        <v>Inventory Clerk</v>
      </c>
      <c r="E24" s="43" t="str">
        <f>'Aug 2026'!E24</f>
        <v>Y</v>
      </c>
      <c r="F24" s="19">
        <f>'Reference Rates'!$E$15</f>
        <v>94.375</v>
      </c>
      <c r="G24" s="20">
        <v>208</v>
      </c>
      <c r="H24" s="20">
        <v>5</v>
      </c>
      <c r="I24" s="20">
        <v>0</v>
      </c>
      <c r="J24" s="21">
        <f t="shared" si="0"/>
        <v>19630</v>
      </c>
      <c r="K24" s="21">
        <f t="shared" si="1"/>
        <v>589.84375</v>
      </c>
      <c r="L24" s="22">
        <f t="shared" si="2"/>
        <v>20219.84375</v>
      </c>
      <c r="M24" s="21">
        <f>'Reference Rates'!$B$19*G24/8</f>
        <v>1300</v>
      </c>
      <c r="N24" s="21">
        <f>I24*IFERROR(INDEX('Reference Rates'!$B$21:$B$22,MATCH(C24,'Reference Rates'!$A$21:$A$22,0)),0)</f>
        <v>0</v>
      </c>
      <c r="O24" s="23">
        <f>MIN('Reference Rates'!$B$30,MAX('Reference Rates'!$B$29,MROUND(L24,500)))</f>
        <v>20000</v>
      </c>
      <c r="P24" s="21">
        <f>O24*'Reference Rates'!$B$27</f>
        <v>1000</v>
      </c>
      <c r="Q24" s="21">
        <f>MIN(MAX(L24,'Reference Rates'!$B$39),'Reference Rates'!$B$40)*'Reference Rates'!$B$37</f>
        <v>505.49609375</v>
      </c>
      <c r="R24" s="21">
        <f>MIN(L24,'Reference Rates'!$B$46)*IF(L24&gt;1500,'Reference Rates'!$B$43,'Reference Rates'!$B$44)</f>
        <v>200</v>
      </c>
      <c r="S24" s="22">
        <f t="shared" si="3"/>
        <v>1705.49609375</v>
      </c>
      <c r="T24" s="21">
        <f t="shared" si="4"/>
        <v>0</v>
      </c>
      <c r="U24" s="21">
        <f>IF(T24&lt;='Reference Rates'!$D$51,0,IF(T24&lt;='Reference Rates'!$D$52,'Reference Rates'!$B$51+(T24-'Reference Rates'!$D$51)*'Reference Rates'!$C$51,IF(T24&lt;='Reference Rates'!$D$53,'Reference Rates'!$B$52+(T24-'Reference Rates'!$D$52)*'Reference Rates'!$C$52,IF(T24&lt;='Reference Rates'!$D$54,'Reference Rates'!$B$53+(T24-'Reference Rates'!$D$53)*'Reference Rates'!$C$53,IF(T24&lt;='Reference Rates'!$D$55,'Reference Rates'!$B$54+(T24-'Reference Rates'!$D$54)*'Reference Rates'!$C$54,'Reference Rates'!$B$55+(T24-'Reference Rates'!$D$55)*'Reference Rates'!$C$55)))))</f>
        <v>0</v>
      </c>
      <c r="V24" s="22">
        <f t="shared" si="5"/>
        <v>1705.49609375</v>
      </c>
      <c r="W24" s="24">
        <f t="shared" si="6"/>
        <v>19814.34765625</v>
      </c>
      <c r="X24" s="25">
        <f>O24*'Reference Rates'!$B$28</f>
        <v>2000</v>
      </c>
      <c r="Y24" s="25">
        <f>IF(O24&lt;'Reference Rates'!$B$31,'Reference Rates'!$B$32,'Reference Rates'!$B$33)</f>
        <v>30</v>
      </c>
      <c r="Z24" s="25">
        <f>MIN(MAX(L24,'Reference Rates'!$B$39),'Reference Rates'!$B$40)*'Reference Rates'!$B$38</f>
        <v>505.49609375</v>
      </c>
      <c r="AA24" s="25">
        <f>MIN(L24,'Reference Rates'!$B$46)*'Reference Rates'!$B$45</f>
        <v>200</v>
      </c>
      <c r="AB24" s="26">
        <f t="shared" si="7"/>
        <v>2735.49609375</v>
      </c>
      <c r="AC24" s="27">
        <f t="shared" si="8"/>
        <v>24255.33984375</v>
      </c>
    </row>
    <row r="25" spans="1:29" x14ac:dyDescent="0.35">
      <c r="A25" s="42" t="str">
        <f>'Aug 2026'!A25</f>
        <v>EMP-020</v>
      </c>
      <c r="B25" s="42" t="str">
        <f>IF('Aug 2026'!B25="","",'Aug 2026'!B25)</f>
        <v/>
      </c>
      <c r="C25" s="42" t="str">
        <f>'Aug 2026'!C25</f>
        <v>Warehouse</v>
      </c>
      <c r="D25" s="42" t="str">
        <f>'Aug 2026'!D25</f>
        <v>Inventory Clerk</v>
      </c>
      <c r="E25" s="43" t="str">
        <f>'Aug 2026'!E25</f>
        <v>Y</v>
      </c>
      <c r="F25" s="19">
        <f>'Reference Rates'!$E$15</f>
        <v>94.375</v>
      </c>
      <c r="G25" s="20">
        <v>208</v>
      </c>
      <c r="H25" s="20">
        <v>6</v>
      </c>
      <c r="I25" s="20">
        <v>0</v>
      </c>
      <c r="J25" s="21">
        <f t="shared" si="0"/>
        <v>19630</v>
      </c>
      <c r="K25" s="21">
        <f t="shared" si="1"/>
        <v>707.8125</v>
      </c>
      <c r="L25" s="22">
        <f t="shared" si="2"/>
        <v>20337.8125</v>
      </c>
      <c r="M25" s="21">
        <f>'Reference Rates'!$B$19*G25/8</f>
        <v>1300</v>
      </c>
      <c r="N25" s="21">
        <f>I25*IFERROR(INDEX('Reference Rates'!$B$21:$B$22,MATCH(C25,'Reference Rates'!$A$21:$A$22,0)),0)</f>
        <v>0</v>
      </c>
      <c r="O25" s="23">
        <f>MIN('Reference Rates'!$B$30,MAX('Reference Rates'!$B$29,MROUND(L25,500)))</f>
        <v>20500</v>
      </c>
      <c r="P25" s="21">
        <f>O25*'Reference Rates'!$B$27</f>
        <v>1025</v>
      </c>
      <c r="Q25" s="21">
        <f>MIN(MAX(L25,'Reference Rates'!$B$39),'Reference Rates'!$B$40)*'Reference Rates'!$B$37</f>
        <v>508.4453125</v>
      </c>
      <c r="R25" s="21">
        <f>MIN(L25,'Reference Rates'!$B$46)*IF(L25&gt;1500,'Reference Rates'!$B$43,'Reference Rates'!$B$44)</f>
        <v>200</v>
      </c>
      <c r="S25" s="22">
        <f t="shared" si="3"/>
        <v>1733.4453125</v>
      </c>
      <c r="T25" s="21">
        <f t="shared" si="4"/>
        <v>0</v>
      </c>
      <c r="U25" s="21">
        <f>IF(T25&lt;='Reference Rates'!$D$51,0,IF(T25&lt;='Reference Rates'!$D$52,'Reference Rates'!$B$51+(T25-'Reference Rates'!$D$51)*'Reference Rates'!$C$51,IF(T25&lt;='Reference Rates'!$D$53,'Reference Rates'!$B$52+(T25-'Reference Rates'!$D$52)*'Reference Rates'!$C$52,IF(T25&lt;='Reference Rates'!$D$54,'Reference Rates'!$B$53+(T25-'Reference Rates'!$D$53)*'Reference Rates'!$C$53,IF(T25&lt;='Reference Rates'!$D$55,'Reference Rates'!$B$54+(T25-'Reference Rates'!$D$54)*'Reference Rates'!$C$54,'Reference Rates'!$B$55+(T25-'Reference Rates'!$D$55)*'Reference Rates'!$C$55)))))</f>
        <v>0</v>
      </c>
      <c r="V25" s="22">
        <f t="shared" si="5"/>
        <v>1733.4453125</v>
      </c>
      <c r="W25" s="24">
        <f t="shared" si="6"/>
        <v>19904.3671875</v>
      </c>
      <c r="X25" s="25">
        <f>O25*'Reference Rates'!$B$28</f>
        <v>2050</v>
      </c>
      <c r="Y25" s="25">
        <f>IF(O25&lt;'Reference Rates'!$B$31,'Reference Rates'!$B$32,'Reference Rates'!$B$33)</f>
        <v>30</v>
      </c>
      <c r="Z25" s="25">
        <f>MIN(MAX(L25,'Reference Rates'!$B$39),'Reference Rates'!$B$40)*'Reference Rates'!$B$38</f>
        <v>508.4453125</v>
      </c>
      <c r="AA25" s="25">
        <f>MIN(L25,'Reference Rates'!$B$46)*'Reference Rates'!$B$45</f>
        <v>200</v>
      </c>
      <c r="AB25" s="26">
        <f t="shared" si="7"/>
        <v>2788.4453125</v>
      </c>
      <c r="AC25" s="27">
        <f t="shared" si="8"/>
        <v>24426.2578125</v>
      </c>
    </row>
    <row r="26" spans="1:29" x14ac:dyDescent="0.35">
      <c r="A26" s="44" t="str">
        <f>'Aug 2026'!A26</f>
        <v>EMP-021</v>
      </c>
      <c r="B26" s="44" t="str">
        <f>IF('Aug 2026'!B26="","",'Aug 2026'!B26)</f>
        <v>Joshua Cedric D. Cortez</v>
      </c>
      <c r="C26" s="44" t="str">
        <f>'Aug 2026'!C26</f>
        <v>Delivery – Luzon</v>
      </c>
      <c r="D26" s="44" t="str">
        <f>'Aug 2026'!D26</f>
        <v>Delivery Driver – Luzon Routes</v>
      </c>
      <c r="E26" s="45" t="str">
        <f>'Aug 2026'!E26</f>
        <v>N</v>
      </c>
      <c r="F26" s="46">
        <f>'Aug 2026'!F26</f>
        <v>100</v>
      </c>
      <c r="G26" s="29">
        <v>208</v>
      </c>
      <c r="H26" s="29">
        <v>15</v>
      </c>
      <c r="I26" s="29">
        <v>10</v>
      </c>
      <c r="J26" s="31">
        <f t="shared" si="0"/>
        <v>20800</v>
      </c>
      <c r="K26" s="31">
        <f t="shared" si="1"/>
        <v>1875</v>
      </c>
      <c r="L26" s="32">
        <f t="shared" si="2"/>
        <v>22675</v>
      </c>
      <c r="M26" s="31">
        <f>'Reference Rates'!$B$19*G26/8</f>
        <v>1300</v>
      </c>
      <c r="N26" s="31">
        <f>I26*IFERROR(INDEX('Reference Rates'!$B$21:$B$22,MATCH(C26,'Reference Rates'!$A$21:$A$22,0)),0)</f>
        <v>5000</v>
      </c>
      <c r="O26" s="33">
        <f>MIN('Reference Rates'!$B$30,MAX('Reference Rates'!$B$29,MROUND(L26,500)))</f>
        <v>22500</v>
      </c>
      <c r="P26" s="31">
        <f>O26*'Reference Rates'!$B$27</f>
        <v>1125</v>
      </c>
      <c r="Q26" s="31">
        <f>MIN(MAX(L26,'Reference Rates'!$B$39),'Reference Rates'!$B$40)*'Reference Rates'!$B$37</f>
        <v>566.875</v>
      </c>
      <c r="R26" s="31">
        <f>MIN(L26,'Reference Rates'!$B$46)*IF(L26&gt;1500,'Reference Rates'!$B$43,'Reference Rates'!$B$44)</f>
        <v>200</v>
      </c>
      <c r="S26" s="32">
        <f t="shared" si="3"/>
        <v>1891.875</v>
      </c>
      <c r="T26" s="31">
        <f t="shared" si="4"/>
        <v>20783.125</v>
      </c>
      <c r="U26" s="31">
        <f>IF(T26&lt;='Reference Rates'!$D$51,0,IF(T26&lt;='Reference Rates'!$D$52,'Reference Rates'!$B$51+(T26-'Reference Rates'!$D$51)*'Reference Rates'!$C$51,IF(T26&lt;='Reference Rates'!$D$53,'Reference Rates'!$B$52+(T26-'Reference Rates'!$D$52)*'Reference Rates'!$C$52,IF(T26&lt;='Reference Rates'!$D$54,'Reference Rates'!$B$53+(T26-'Reference Rates'!$D$53)*'Reference Rates'!$C$53,IF(T26&lt;='Reference Rates'!$D$55,'Reference Rates'!$B$54+(T26-'Reference Rates'!$D$54)*'Reference Rates'!$C$54,'Reference Rates'!$B$55+(T26-'Reference Rates'!$D$55)*'Reference Rates'!$C$55)))))</f>
        <v>0</v>
      </c>
      <c r="V26" s="32">
        <f t="shared" si="5"/>
        <v>1891.875</v>
      </c>
      <c r="W26" s="34">
        <f t="shared" si="6"/>
        <v>27083.125</v>
      </c>
      <c r="X26" s="25">
        <f>O26*'Reference Rates'!$B$28</f>
        <v>2250</v>
      </c>
      <c r="Y26" s="25">
        <f>IF(O26&lt;'Reference Rates'!$B$31,'Reference Rates'!$B$32,'Reference Rates'!$B$33)</f>
        <v>30</v>
      </c>
      <c r="Z26" s="25">
        <f>MIN(MAX(L26,'Reference Rates'!$B$39),'Reference Rates'!$B$40)*'Reference Rates'!$B$38</f>
        <v>566.875</v>
      </c>
      <c r="AA26" s="25">
        <f>MIN(L26,'Reference Rates'!$B$46)*'Reference Rates'!$B$45</f>
        <v>200</v>
      </c>
      <c r="AB26" s="26">
        <f t="shared" si="7"/>
        <v>3046.875</v>
      </c>
      <c r="AC26" s="27">
        <f t="shared" si="8"/>
        <v>32021.875</v>
      </c>
    </row>
    <row r="27" spans="1:29" x14ac:dyDescent="0.35">
      <c r="A27" s="44" t="str">
        <f>'Aug 2026'!A27</f>
        <v>EMP-022</v>
      </c>
      <c r="B27" s="44" t="str">
        <f>IF('Aug 2026'!B27="","",'Aug 2026'!B27)</f>
        <v/>
      </c>
      <c r="C27" s="44" t="str">
        <f>'Aug 2026'!C27</f>
        <v>Delivery – Luzon</v>
      </c>
      <c r="D27" s="44" t="str">
        <f>'Aug 2026'!D27</f>
        <v>Delivery Driver – Luzon Routes</v>
      </c>
      <c r="E27" s="45" t="str">
        <f>'Aug 2026'!E27</f>
        <v>N</v>
      </c>
      <c r="F27" s="46">
        <f>'Aug 2026'!F27</f>
        <v>105</v>
      </c>
      <c r="G27" s="29">
        <v>208</v>
      </c>
      <c r="H27" s="29">
        <v>20</v>
      </c>
      <c r="I27" s="29">
        <v>9</v>
      </c>
      <c r="J27" s="31">
        <f t="shared" si="0"/>
        <v>21840</v>
      </c>
      <c r="K27" s="31">
        <f t="shared" si="1"/>
        <v>2625</v>
      </c>
      <c r="L27" s="32">
        <f t="shared" si="2"/>
        <v>24465</v>
      </c>
      <c r="M27" s="31">
        <f>'Reference Rates'!$B$19*G27/8</f>
        <v>1300</v>
      </c>
      <c r="N27" s="31">
        <f>I27*IFERROR(INDEX('Reference Rates'!$B$21:$B$22,MATCH(C27,'Reference Rates'!$A$21:$A$22,0)),0)</f>
        <v>4500</v>
      </c>
      <c r="O27" s="33">
        <f>MIN('Reference Rates'!$B$30,MAX('Reference Rates'!$B$29,MROUND(L27,500)))</f>
        <v>24500</v>
      </c>
      <c r="P27" s="31">
        <f>O27*'Reference Rates'!$B$27</f>
        <v>1225</v>
      </c>
      <c r="Q27" s="31">
        <f>MIN(MAX(L27,'Reference Rates'!$B$39),'Reference Rates'!$B$40)*'Reference Rates'!$B$37</f>
        <v>611.625</v>
      </c>
      <c r="R27" s="31">
        <f>MIN(L27,'Reference Rates'!$B$46)*IF(L27&gt;1500,'Reference Rates'!$B$43,'Reference Rates'!$B$44)</f>
        <v>200</v>
      </c>
      <c r="S27" s="32">
        <f t="shared" si="3"/>
        <v>2036.625</v>
      </c>
      <c r="T27" s="31">
        <f t="shared" si="4"/>
        <v>22428.375</v>
      </c>
      <c r="U27" s="31">
        <f>IF(T27&lt;='Reference Rates'!$D$51,0,IF(T27&lt;='Reference Rates'!$D$52,'Reference Rates'!$B$51+(T27-'Reference Rates'!$D$51)*'Reference Rates'!$C$51,IF(T27&lt;='Reference Rates'!$D$53,'Reference Rates'!$B$52+(T27-'Reference Rates'!$D$52)*'Reference Rates'!$C$52,IF(T27&lt;='Reference Rates'!$D$54,'Reference Rates'!$B$53+(T27-'Reference Rates'!$D$53)*'Reference Rates'!$C$53,IF(T27&lt;='Reference Rates'!$D$55,'Reference Rates'!$B$54+(T27-'Reference Rates'!$D$54)*'Reference Rates'!$C$54,'Reference Rates'!$B$55+(T27-'Reference Rates'!$D$55)*'Reference Rates'!$C$55)))))</f>
        <v>239.30624999999998</v>
      </c>
      <c r="V27" s="32">
        <f t="shared" si="5"/>
        <v>2275.9312500000001</v>
      </c>
      <c r="W27" s="34">
        <f t="shared" si="6"/>
        <v>27989.068749999999</v>
      </c>
      <c r="X27" s="25">
        <f>O27*'Reference Rates'!$B$28</f>
        <v>2450</v>
      </c>
      <c r="Y27" s="25">
        <f>IF(O27&lt;'Reference Rates'!$B$31,'Reference Rates'!$B$32,'Reference Rates'!$B$33)</f>
        <v>30</v>
      </c>
      <c r="Z27" s="25">
        <f>MIN(MAX(L27,'Reference Rates'!$B$39),'Reference Rates'!$B$40)*'Reference Rates'!$B$38</f>
        <v>611.625</v>
      </c>
      <c r="AA27" s="25">
        <f>MIN(L27,'Reference Rates'!$B$46)*'Reference Rates'!$B$45</f>
        <v>200</v>
      </c>
      <c r="AB27" s="26">
        <f t="shared" si="7"/>
        <v>3291.625</v>
      </c>
      <c r="AC27" s="27">
        <f t="shared" si="8"/>
        <v>33556.625</v>
      </c>
    </row>
    <row r="28" spans="1:29" x14ac:dyDescent="0.35">
      <c r="A28" s="44" t="str">
        <f>'Aug 2026'!A28</f>
        <v>EMP-023</v>
      </c>
      <c r="B28" s="44" t="str">
        <f>IF('Aug 2026'!B28="","",'Aug 2026'!B28)</f>
        <v/>
      </c>
      <c r="C28" s="44" t="str">
        <f>'Aug 2026'!C28</f>
        <v>Delivery – Luzon</v>
      </c>
      <c r="D28" s="44" t="str">
        <f>'Aug 2026'!D28</f>
        <v>Delivery Driver – Luzon Routes</v>
      </c>
      <c r="E28" s="45" t="str">
        <f>'Aug 2026'!E28</f>
        <v>N</v>
      </c>
      <c r="F28" s="46">
        <f>'Aug 2026'!F28</f>
        <v>100</v>
      </c>
      <c r="G28" s="29">
        <v>208</v>
      </c>
      <c r="H28" s="29">
        <v>18</v>
      </c>
      <c r="I28" s="29">
        <v>10</v>
      </c>
      <c r="J28" s="31">
        <f t="shared" si="0"/>
        <v>20800</v>
      </c>
      <c r="K28" s="31">
        <f t="shared" si="1"/>
        <v>2250</v>
      </c>
      <c r="L28" s="32">
        <f t="shared" si="2"/>
        <v>23050</v>
      </c>
      <c r="M28" s="31">
        <f>'Reference Rates'!$B$19*G28/8</f>
        <v>1300</v>
      </c>
      <c r="N28" s="31">
        <f>I28*IFERROR(INDEX('Reference Rates'!$B$21:$B$22,MATCH(C28,'Reference Rates'!$A$21:$A$22,0)),0)</f>
        <v>5000</v>
      </c>
      <c r="O28" s="33">
        <f>MIN('Reference Rates'!$B$30,MAX('Reference Rates'!$B$29,MROUND(L28,500)))</f>
        <v>23000</v>
      </c>
      <c r="P28" s="31">
        <f>O28*'Reference Rates'!$B$27</f>
        <v>1150</v>
      </c>
      <c r="Q28" s="31">
        <f>MIN(MAX(L28,'Reference Rates'!$B$39),'Reference Rates'!$B$40)*'Reference Rates'!$B$37</f>
        <v>576.25</v>
      </c>
      <c r="R28" s="31">
        <f>MIN(L28,'Reference Rates'!$B$46)*IF(L28&gt;1500,'Reference Rates'!$B$43,'Reference Rates'!$B$44)</f>
        <v>200</v>
      </c>
      <c r="S28" s="32">
        <f t="shared" si="3"/>
        <v>1926.25</v>
      </c>
      <c r="T28" s="31">
        <f t="shared" si="4"/>
        <v>21123.75</v>
      </c>
      <c r="U28" s="31">
        <f>IF(T28&lt;='Reference Rates'!$D$51,0,IF(T28&lt;='Reference Rates'!$D$52,'Reference Rates'!$B$51+(T28-'Reference Rates'!$D$51)*'Reference Rates'!$C$51,IF(T28&lt;='Reference Rates'!$D$53,'Reference Rates'!$B$52+(T28-'Reference Rates'!$D$52)*'Reference Rates'!$C$52,IF(T28&lt;='Reference Rates'!$D$54,'Reference Rates'!$B$53+(T28-'Reference Rates'!$D$53)*'Reference Rates'!$C$53,IF(T28&lt;='Reference Rates'!$D$55,'Reference Rates'!$B$54+(T28-'Reference Rates'!$D$54)*'Reference Rates'!$C$54,'Reference Rates'!$B$55+(T28-'Reference Rates'!$D$55)*'Reference Rates'!$C$55)))))</f>
        <v>43.612499999999997</v>
      </c>
      <c r="V28" s="32">
        <f t="shared" si="5"/>
        <v>1969.8625</v>
      </c>
      <c r="W28" s="34">
        <f t="shared" si="6"/>
        <v>27380.137500000001</v>
      </c>
      <c r="X28" s="25">
        <f>O28*'Reference Rates'!$B$28</f>
        <v>2300</v>
      </c>
      <c r="Y28" s="25">
        <f>IF(O28&lt;'Reference Rates'!$B$31,'Reference Rates'!$B$32,'Reference Rates'!$B$33)</f>
        <v>30</v>
      </c>
      <c r="Z28" s="25">
        <f>MIN(MAX(L28,'Reference Rates'!$B$39),'Reference Rates'!$B$40)*'Reference Rates'!$B$38</f>
        <v>576.25</v>
      </c>
      <c r="AA28" s="25">
        <f>MIN(L28,'Reference Rates'!$B$46)*'Reference Rates'!$B$45</f>
        <v>200</v>
      </c>
      <c r="AB28" s="26">
        <f t="shared" si="7"/>
        <v>3106.25</v>
      </c>
      <c r="AC28" s="27">
        <f t="shared" si="8"/>
        <v>32456.25</v>
      </c>
    </row>
    <row r="29" spans="1:29" x14ac:dyDescent="0.35">
      <c r="A29" s="44" t="str">
        <f>'Aug 2026'!A29</f>
        <v>EMP-024</v>
      </c>
      <c r="B29" s="44" t="str">
        <f>IF('Aug 2026'!B29="","",'Aug 2026'!B29)</f>
        <v>Tristan Judd Mari Magsino</v>
      </c>
      <c r="C29" s="44" t="str">
        <f>'Aug 2026'!C29</f>
        <v>Delivery – Samar</v>
      </c>
      <c r="D29" s="44" t="str">
        <f>'Aug 2026'!D29</f>
        <v>Delivery Driver – Samar Routes</v>
      </c>
      <c r="E29" s="45" t="str">
        <f>'Aug 2026'!E29</f>
        <v>N</v>
      </c>
      <c r="F29" s="46">
        <f>'Aug 2026'!F29</f>
        <v>110</v>
      </c>
      <c r="G29" s="29">
        <v>208</v>
      </c>
      <c r="H29" s="29">
        <v>29</v>
      </c>
      <c r="I29" s="29">
        <v>13</v>
      </c>
      <c r="J29" s="31">
        <f t="shared" si="0"/>
        <v>22880</v>
      </c>
      <c r="K29" s="31">
        <f t="shared" si="1"/>
        <v>3987.5</v>
      </c>
      <c r="L29" s="32">
        <f t="shared" si="2"/>
        <v>26867.5</v>
      </c>
      <c r="M29" s="31">
        <f>'Reference Rates'!$B$19*G29/8</f>
        <v>1300</v>
      </c>
      <c r="N29" s="31">
        <f>I29*IFERROR(INDEX('Reference Rates'!$B$21:$B$22,MATCH(C29,'Reference Rates'!$A$21:$A$22,0)),0)</f>
        <v>11700</v>
      </c>
      <c r="O29" s="33">
        <f>MIN('Reference Rates'!$B$30,MAX('Reference Rates'!$B$29,MROUND(L29,500)))</f>
        <v>27000</v>
      </c>
      <c r="P29" s="31">
        <f>O29*'Reference Rates'!$B$27</f>
        <v>1350</v>
      </c>
      <c r="Q29" s="31">
        <f>MIN(MAX(L29,'Reference Rates'!$B$39),'Reference Rates'!$B$40)*'Reference Rates'!$B$37</f>
        <v>671.6875</v>
      </c>
      <c r="R29" s="31">
        <f>MIN(L29,'Reference Rates'!$B$46)*IF(L29&gt;1500,'Reference Rates'!$B$43,'Reference Rates'!$B$44)</f>
        <v>200</v>
      </c>
      <c r="S29" s="32">
        <f t="shared" si="3"/>
        <v>2221.6875</v>
      </c>
      <c r="T29" s="31">
        <f t="shared" si="4"/>
        <v>24645.8125</v>
      </c>
      <c r="U29" s="31">
        <f>IF(T29&lt;='Reference Rates'!$D$51,0,IF(T29&lt;='Reference Rates'!$D$52,'Reference Rates'!$B$51+(T29-'Reference Rates'!$D$51)*'Reference Rates'!$C$51,IF(T29&lt;='Reference Rates'!$D$53,'Reference Rates'!$B$52+(T29-'Reference Rates'!$D$52)*'Reference Rates'!$C$52,IF(T29&lt;='Reference Rates'!$D$54,'Reference Rates'!$B$53+(T29-'Reference Rates'!$D$53)*'Reference Rates'!$C$53,IF(T29&lt;='Reference Rates'!$D$55,'Reference Rates'!$B$54+(T29-'Reference Rates'!$D$54)*'Reference Rates'!$C$54,'Reference Rates'!$B$55+(T29-'Reference Rates'!$D$55)*'Reference Rates'!$C$55)))))</f>
        <v>571.921875</v>
      </c>
      <c r="V29" s="32">
        <f t="shared" si="5"/>
        <v>2793.609375</v>
      </c>
      <c r="W29" s="34">
        <f t="shared" si="6"/>
        <v>37073.890625</v>
      </c>
      <c r="X29" s="25">
        <f>O29*'Reference Rates'!$B$28</f>
        <v>2700</v>
      </c>
      <c r="Y29" s="25">
        <f>IF(O29&lt;'Reference Rates'!$B$31,'Reference Rates'!$B$32,'Reference Rates'!$B$33)</f>
        <v>30</v>
      </c>
      <c r="Z29" s="25">
        <f>MIN(MAX(L29,'Reference Rates'!$B$39),'Reference Rates'!$B$40)*'Reference Rates'!$B$38</f>
        <v>671.6875</v>
      </c>
      <c r="AA29" s="25">
        <f>MIN(L29,'Reference Rates'!$B$46)*'Reference Rates'!$B$45</f>
        <v>200</v>
      </c>
      <c r="AB29" s="26">
        <f t="shared" si="7"/>
        <v>3601.6875</v>
      </c>
      <c r="AC29" s="27">
        <f t="shared" si="8"/>
        <v>43469.1875</v>
      </c>
    </row>
    <row r="30" spans="1:29" x14ac:dyDescent="0.35">
      <c r="A30" s="44" t="str">
        <f>'Aug 2026'!A30</f>
        <v>EMP-025</v>
      </c>
      <c r="B30" s="44" t="str">
        <f>IF('Aug 2026'!B30="","",'Aug 2026'!B30)</f>
        <v/>
      </c>
      <c r="C30" s="44" t="str">
        <f>'Aug 2026'!C30</f>
        <v>Delivery – Samar</v>
      </c>
      <c r="D30" s="44" t="str">
        <f>'Aug 2026'!D30</f>
        <v>Delivery Driver – Samar Routes</v>
      </c>
      <c r="E30" s="45" t="str">
        <f>'Aug 2026'!E30</f>
        <v>N</v>
      </c>
      <c r="F30" s="46">
        <f>'Aug 2026'!F30</f>
        <v>115</v>
      </c>
      <c r="G30" s="29">
        <v>208</v>
      </c>
      <c r="H30" s="29">
        <v>29</v>
      </c>
      <c r="I30" s="29">
        <v>12</v>
      </c>
      <c r="J30" s="31">
        <f t="shared" si="0"/>
        <v>23920</v>
      </c>
      <c r="K30" s="31">
        <f t="shared" si="1"/>
        <v>4168.75</v>
      </c>
      <c r="L30" s="32">
        <f t="shared" si="2"/>
        <v>28088.75</v>
      </c>
      <c r="M30" s="31">
        <f>'Reference Rates'!$B$19*G30/8</f>
        <v>1300</v>
      </c>
      <c r="N30" s="31">
        <f>I30*IFERROR(INDEX('Reference Rates'!$B$21:$B$22,MATCH(C30,'Reference Rates'!$A$21:$A$22,0)),0)</f>
        <v>10800</v>
      </c>
      <c r="O30" s="33">
        <f>MIN('Reference Rates'!$B$30,MAX('Reference Rates'!$B$29,MROUND(L30,500)))</f>
        <v>28000</v>
      </c>
      <c r="P30" s="31">
        <f>O30*'Reference Rates'!$B$27</f>
        <v>1400</v>
      </c>
      <c r="Q30" s="31">
        <f>MIN(MAX(L30,'Reference Rates'!$B$39),'Reference Rates'!$B$40)*'Reference Rates'!$B$37</f>
        <v>702.21875</v>
      </c>
      <c r="R30" s="31">
        <f>MIN(L30,'Reference Rates'!$B$46)*IF(L30&gt;1500,'Reference Rates'!$B$43,'Reference Rates'!$B$44)</f>
        <v>200</v>
      </c>
      <c r="S30" s="32">
        <f t="shared" si="3"/>
        <v>2302.21875</v>
      </c>
      <c r="T30" s="31">
        <f t="shared" si="4"/>
        <v>25786.53125</v>
      </c>
      <c r="U30" s="31">
        <f>IF(T30&lt;='Reference Rates'!$D$51,0,IF(T30&lt;='Reference Rates'!$D$52,'Reference Rates'!$B$51+(T30-'Reference Rates'!$D$51)*'Reference Rates'!$C$51,IF(T30&lt;='Reference Rates'!$D$53,'Reference Rates'!$B$52+(T30-'Reference Rates'!$D$52)*'Reference Rates'!$C$52,IF(T30&lt;='Reference Rates'!$D$54,'Reference Rates'!$B$53+(T30-'Reference Rates'!$D$53)*'Reference Rates'!$C$53,IF(T30&lt;='Reference Rates'!$D$55,'Reference Rates'!$B$54+(T30-'Reference Rates'!$D$54)*'Reference Rates'!$C$54,'Reference Rates'!$B$55+(T30-'Reference Rates'!$D$55)*'Reference Rates'!$C$55)))))</f>
        <v>743.02968750000002</v>
      </c>
      <c r="V30" s="32">
        <f t="shared" si="5"/>
        <v>3045.2484374999999</v>
      </c>
      <c r="W30" s="34">
        <f t="shared" si="6"/>
        <v>37143.501562500001</v>
      </c>
      <c r="X30" s="25">
        <f>O30*'Reference Rates'!$B$28</f>
        <v>2800</v>
      </c>
      <c r="Y30" s="25">
        <f>IF(O30&lt;'Reference Rates'!$B$31,'Reference Rates'!$B$32,'Reference Rates'!$B$33)</f>
        <v>30</v>
      </c>
      <c r="Z30" s="25">
        <f>MIN(MAX(L30,'Reference Rates'!$B$39),'Reference Rates'!$B$40)*'Reference Rates'!$B$38</f>
        <v>702.21875</v>
      </c>
      <c r="AA30" s="25">
        <f>MIN(L30,'Reference Rates'!$B$46)*'Reference Rates'!$B$45</f>
        <v>200</v>
      </c>
      <c r="AB30" s="26">
        <f t="shared" si="7"/>
        <v>3732.21875</v>
      </c>
      <c r="AC30" s="27">
        <f t="shared" si="8"/>
        <v>43920.96875</v>
      </c>
    </row>
    <row r="31" spans="1:29" x14ac:dyDescent="0.35">
      <c r="A31" s="44" t="str">
        <f>'Aug 2026'!A31</f>
        <v>EMP-026</v>
      </c>
      <c r="B31" s="44" t="str">
        <f>IF('Aug 2026'!B31="","",'Aug 2026'!B31)</f>
        <v/>
      </c>
      <c r="C31" s="44" t="str">
        <f>'Aug 2026'!C31</f>
        <v>Delivery – Samar</v>
      </c>
      <c r="D31" s="44" t="str">
        <f>'Aug 2026'!D31</f>
        <v>Delivery Driver – Samar Routes</v>
      </c>
      <c r="E31" s="45" t="str">
        <f>'Aug 2026'!E31</f>
        <v>N</v>
      </c>
      <c r="F31" s="46">
        <f>'Aug 2026'!F31</f>
        <v>110</v>
      </c>
      <c r="G31" s="29">
        <v>208</v>
      </c>
      <c r="H31" s="29">
        <v>28</v>
      </c>
      <c r="I31" s="29">
        <v>11</v>
      </c>
      <c r="J31" s="31">
        <f t="shared" si="0"/>
        <v>22880</v>
      </c>
      <c r="K31" s="31">
        <f t="shared" si="1"/>
        <v>3850</v>
      </c>
      <c r="L31" s="32">
        <f t="shared" si="2"/>
        <v>26730</v>
      </c>
      <c r="M31" s="31">
        <f>'Reference Rates'!$B$19*G31/8</f>
        <v>1300</v>
      </c>
      <c r="N31" s="31">
        <f>I31*IFERROR(INDEX('Reference Rates'!$B$21:$B$22,MATCH(C31,'Reference Rates'!$A$21:$A$22,0)),0)</f>
        <v>9900</v>
      </c>
      <c r="O31" s="33">
        <f>MIN('Reference Rates'!$B$30,MAX('Reference Rates'!$B$29,MROUND(L31,500)))</f>
        <v>26500</v>
      </c>
      <c r="P31" s="31">
        <f>O31*'Reference Rates'!$B$27</f>
        <v>1325</v>
      </c>
      <c r="Q31" s="31">
        <f>MIN(MAX(L31,'Reference Rates'!$B$39),'Reference Rates'!$B$40)*'Reference Rates'!$B$37</f>
        <v>668.25</v>
      </c>
      <c r="R31" s="31">
        <f>MIN(L31,'Reference Rates'!$B$46)*IF(L31&gt;1500,'Reference Rates'!$B$43,'Reference Rates'!$B$44)</f>
        <v>200</v>
      </c>
      <c r="S31" s="32">
        <f t="shared" si="3"/>
        <v>2193.25</v>
      </c>
      <c r="T31" s="31">
        <f t="shared" si="4"/>
        <v>24536.75</v>
      </c>
      <c r="U31" s="31">
        <f>IF(T31&lt;='Reference Rates'!$D$51,0,IF(T31&lt;='Reference Rates'!$D$52,'Reference Rates'!$B$51+(T31-'Reference Rates'!$D$51)*'Reference Rates'!$C$51,IF(T31&lt;='Reference Rates'!$D$53,'Reference Rates'!$B$52+(T31-'Reference Rates'!$D$52)*'Reference Rates'!$C$52,IF(T31&lt;='Reference Rates'!$D$54,'Reference Rates'!$B$53+(T31-'Reference Rates'!$D$53)*'Reference Rates'!$C$53,IF(T31&lt;='Reference Rates'!$D$55,'Reference Rates'!$B$54+(T31-'Reference Rates'!$D$54)*'Reference Rates'!$C$54,'Reference Rates'!$B$55+(T31-'Reference Rates'!$D$55)*'Reference Rates'!$C$55)))))</f>
        <v>555.5625</v>
      </c>
      <c r="V31" s="32">
        <f t="shared" si="5"/>
        <v>2748.8125</v>
      </c>
      <c r="W31" s="34">
        <f t="shared" si="6"/>
        <v>35181.1875</v>
      </c>
      <c r="X31" s="25">
        <f>O31*'Reference Rates'!$B$28</f>
        <v>2650</v>
      </c>
      <c r="Y31" s="25">
        <f>IF(O31&lt;'Reference Rates'!$B$31,'Reference Rates'!$B$32,'Reference Rates'!$B$33)</f>
        <v>30</v>
      </c>
      <c r="Z31" s="25">
        <f>MIN(MAX(L31,'Reference Rates'!$B$39),'Reference Rates'!$B$40)*'Reference Rates'!$B$38</f>
        <v>668.25</v>
      </c>
      <c r="AA31" s="25">
        <f>MIN(L31,'Reference Rates'!$B$46)*'Reference Rates'!$B$45</f>
        <v>200</v>
      </c>
      <c r="AB31" s="26">
        <f t="shared" si="7"/>
        <v>3548.25</v>
      </c>
      <c r="AC31" s="27">
        <f t="shared" si="8"/>
        <v>41478.25</v>
      </c>
    </row>
    <row r="32" spans="1:29" x14ac:dyDescent="0.35">
      <c r="A32" s="42" t="str">
        <f>'Aug 2026'!A32</f>
        <v>EMP-027</v>
      </c>
      <c r="B32" s="42" t="str">
        <f>IF('Aug 2026'!B32="","",'Aug 2026'!B32)</f>
        <v/>
      </c>
      <c r="C32" s="42" t="str">
        <f>'Aug 2026'!C32</f>
        <v>Admin / Supervisory</v>
      </c>
      <c r="D32" s="42" t="str">
        <f>'Aug 2026'!D32</f>
        <v>Store Supervisor</v>
      </c>
      <c r="E32" s="43" t="str">
        <f>'Aug 2026'!E32</f>
        <v>N</v>
      </c>
      <c r="F32" s="19">
        <f>'Aug 2026'!F32</f>
        <v>120</v>
      </c>
      <c r="G32" s="20">
        <v>208</v>
      </c>
      <c r="H32" s="20">
        <v>0</v>
      </c>
      <c r="I32" s="20">
        <v>0</v>
      </c>
      <c r="J32" s="21">
        <f t="shared" si="0"/>
        <v>24960</v>
      </c>
      <c r="K32" s="21">
        <f t="shared" si="1"/>
        <v>0</v>
      </c>
      <c r="L32" s="22">
        <f t="shared" si="2"/>
        <v>24960</v>
      </c>
      <c r="M32" s="21">
        <f>'Reference Rates'!$B$19*G32/8</f>
        <v>1300</v>
      </c>
      <c r="N32" s="21">
        <f>I32*IFERROR(INDEX('Reference Rates'!$B$21:$B$22,MATCH(C32,'Reference Rates'!$A$21:$A$22,0)),0)</f>
        <v>0</v>
      </c>
      <c r="O32" s="23">
        <f>MIN('Reference Rates'!$B$30,MAX('Reference Rates'!$B$29,MROUND(L32,500)))</f>
        <v>25000</v>
      </c>
      <c r="P32" s="21">
        <f>O32*'Reference Rates'!$B$27</f>
        <v>1250</v>
      </c>
      <c r="Q32" s="21">
        <f>MIN(MAX(L32,'Reference Rates'!$B$39),'Reference Rates'!$B$40)*'Reference Rates'!$B$37</f>
        <v>624</v>
      </c>
      <c r="R32" s="21">
        <f>MIN(L32,'Reference Rates'!$B$46)*IF(L32&gt;1500,'Reference Rates'!$B$43,'Reference Rates'!$B$44)</f>
        <v>200</v>
      </c>
      <c r="S32" s="22">
        <f t="shared" si="3"/>
        <v>2074</v>
      </c>
      <c r="T32" s="21">
        <f t="shared" si="4"/>
        <v>22886</v>
      </c>
      <c r="U32" s="21">
        <f>IF(T32&lt;='Reference Rates'!$D$51,0,IF(T32&lt;='Reference Rates'!$D$52,'Reference Rates'!$B$51+(T32-'Reference Rates'!$D$51)*'Reference Rates'!$C$51,IF(T32&lt;='Reference Rates'!$D$53,'Reference Rates'!$B$52+(T32-'Reference Rates'!$D$52)*'Reference Rates'!$C$52,IF(T32&lt;='Reference Rates'!$D$54,'Reference Rates'!$B$53+(T32-'Reference Rates'!$D$53)*'Reference Rates'!$C$53,IF(T32&lt;='Reference Rates'!$D$55,'Reference Rates'!$B$54+(T32-'Reference Rates'!$D$54)*'Reference Rates'!$C$54,'Reference Rates'!$B$55+(T32-'Reference Rates'!$D$55)*'Reference Rates'!$C$55)))))</f>
        <v>307.95</v>
      </c>
      <c r="V32" s="22">
        <f t="shared" si="5"/>
        <v>2381.9499999999998</v>
      </c>
      <c r="W32" s="24">
        <f t="shared" si="6"/>
        <v>23878.05</v>
      </c>
      <c r="X32" s="25">
        <f>O32*'Reference Rates'!$B$28</f>
        <v>2500</v>
      </c>
      <c r="Y32" s="25">
        <f>IF(O32&lt;'Reference Rates'!$B$31,'Reference Rates'!$B$32,'Reference Rates'!$B$33)</f>
        <v>30</v>
      </c>
      <c r="Z32" s="25">
        <f>MIN(MAX(L32,'Reference Rates'!$B$39),'Reference Rates'!$B$40)*'Reference Rates'!$B$38</f>
        <v>624</v>
      </c>
      <c r="AA32" s="25">
        <f>MIN(L32,'Reference Rates'!$B$46)*'Reference Rates'!$B$45</f>
        <v>200</v>
      </c>
      <c r="AB32" s="26">
        <f t="shared" si="7"/>
        <v>3354</v>
      </c>
      <c r="AC32" s="27">
        <f t="shared" si="8"/>
        <v>29614</v>
      </c>
    </row>
    <row r="33" spans="1:29" x14ac:dyDescent="0.35">
      <c r="A33" s="42" t="str">
        <f>'Aug 2026'!A33</f>
        <v>EMP-028</v>
      </c>
      <c r="B33" s="42" t="str">
        <f>IF('Aug 2026'!B33="","",'Aug 2026'!B33)</f>
        <v/>
      </c>
      <c r="C33" s="42" t="str">
        <f>'Aug 2026'!C33</f>
        <v>Admin / Supervisory</v>
      </c>
      <c r="D33" s="42" t="str">
        <f>'Aug 2026'!D33</f>
        <v>Warehouse &amp; Logistics Supervisor</v>
      </c>
      <c r="E33" s="43" t="str">
        <f>'Aug 2026'!E33</f>
        <v>N</v>
      </c>
      <c r="F33" s="19">
        <f>'Aug 2026'!F33</f>
        <v>130</v>
      </c>
      <c r="G33" s="20">
        <v>208</v>
      </c>
      <c r="H33" s="20">
        <v>0</v>
      </c>
      <c r="I33" s="20">
        <v>0</v>
      </c>
      <c r="J33" s="21">
        <f t="shared" si="0"/>
        <v>27040</v>
      </c>
      <c r="K33" s="21">
        <f t="shared" si="1"/>
        <v>0</v>
      </c>
      <c r="L33" s="22">
        <f t="shared" si="2"/>
        <v>27040</v>
      </c>
      <c r="M33" s="21">
        <f>'Reference Rates'!$B$19*G33/8</f>
        <v>1300</v>
      </c>
      <c r="N33" s="21">
        <f>I33*IFERROR(INDEX('Reference Rates'!$B$21:$B$22,MATCH(C33,'Reference Rates'!$A$21:$A$22,0)),0)</f>
        <v>0</v>
      </c>
      <c r="O33" s="23">
        <f>MIN('Reference Rates'!$B$30,MAX('Reference Rates'!$B$29,MROUND(L33,500)))</f>
        <v>27000</v>
      </c>
      <c r="P33" s="21">
        <f>O33*'Reference Rates'!$B$27</f>
        <v>1350</v>
      </c>
      <c r="Q33" s="21">
        <f>MIN(MAX(L33,'Reference Rates'!$B$39),'Reference Rates'!$B$40)*'Reference Rates'!$B$37</f>
        <v>676</v>
      </c>
      <c r="R33" s="21">
        <f>MIN(L33,'Reference Rates'!$B$46)*IF(L33&gt;1500,'Reference Rates'!$B$43,'Reference Rates'!$B$44)</f>
        <v>200</v>
      </c>
      <c r="S33" s="22">
        <f t="shared" si="3"/>
        <v>2226</v>
      </c>
      <c r="T33" s="21">
        <f t="shared" si="4"/>
        <v>24814</v>
      </c>
      <c r="U33" s="21">
        <f>IF(T33&lt;='Reference Rates'!$D$51,0,IF(T33&lt;='Reference Rates'!$D$52,'Reference Rates'!$B$51+(T33-'Reference Rates'!$D$51)*'Reference Rates'!$C$51,IF(T33&lt;='Reference Rates'!$D$53,'Reference Rates'!$B$52+(T33-'Reference Rates'!$D$52)*'Reference Rates'!$C$52,IF(T33&lt;='Reference Rates'!$D$54,'Reference Rates'!$B$53+(T33-'Reference Rates'!$D$53)*'Reference Rates'!$C$53,IF(T33&lt;='Reference Rates'!$D$55,'Reference Rates'!$B$54+(T33-'Reference Rates'!$D$54)*'Reference Rates'!$C$54,'Reference Rates'!$B$55+(T33-'Reference Rates'!$D$55)*'Reference Rates'!$C$55)))))</f>
        <v>597.15</v>
      </c>
      <c r="V33" s="22">
        <f t="shared" si="5"/>
        <v>2823.15</v>
      </c>
      <c r="W33" s="24">
        <f t="shared" si="6"/>
        <v>25516.85</v>
      </c>
      <c r="X33" s="25">
        <f>O33*'Reference Rates'!$B$28</f>
        <v>2700</v>
      </c>
      <c r="Y33" s="25">
        <f>IF(O33&lt;'Reference Rates'!$B$31,'Reference Rates'!$B$32,'Reference Rates'!$B$33)</f>
        <v>30</v>
      </c>
      <c r="Z33" s="25">
        <f>MIN(MAX(L33,'Reference Rates'!$B$39),'Reference Rates'!$B$40)*'Reference Rates'!$B$38</f>
        <v>676</v>
      </c>
      <c r="AA33" s="25">
        <f>MIN(L33,'Reference Rates'!$B$46)*'Reference Rates'!$B$45</f>
        <v>200</v>
      </c>
      <c r="AB33" s="26">
        <f t="shared" si="7"/>
        <v>3606</v>
      </c>
      <c r="AC33" s="27">
        <f t="shared" si="8"/>
        <v>31946</v>
      </c>
    </row>
    <row r="34" spans="1:29" x14ac:dyDescent="0.35">
      <c r="A34" s="42" t="str">
        <f>'Aug 2026'!A34</f>
        <v>EMP-029</v>
      </c>
      <c r="B34" s="42" t="str">
        <f>IF('Aug 2026'!B34="","",'Aug 2026'!B34)</f>
        <v/>
      </c>
      <c r="C34" s="42" t="str">
        <f>'Aug 2026'!C34</f>
        <v>Admin / Supervisory</v>
      </c>
      <c r="D34" s="42" t="str">
        <f>'Aug 2026'!D34</f>
        <v>Admin &amp; Payroll Officer</v>
      </c>
      <c r="E34" s="43" t="str">
        <f>'Aug 2026'!E34</f>
        <v>N</v>
      </c>
      <c r="F34" s="19">
        <f>'Aug 2026'!F34</f>
        <v>140</v>
      </c>
      <c r="G34" s="20">
        <v>208</v>
      </c>
      <c r="H34" s="20">
        <v>0</v>
      </c>
      <c r="I34" s="20">
        <v>0</v>
      </c>
      <c r="J34" s="21">
        <f t="shared" si="0"/>
        <v>29120</v>
      </c>
      <c r="K34" s="21">
        <f t="shared" si="1"/>
        <v>0</v>
      </c>
      <c r="L34" s="22">
        <f t="shared" si="2"/>
        <v>29120</v>
      </c>
      <c r="M34" s="21">
        <f>'Reference Rates'!$B$19*G34/8</f>
        <v>1300</v>
      </c>
      <c r="N34" s="21">
        <f>I34*IFERROR(INDEX('Reference Rates'!$B$21:$B$22,MATCH(C34,'Reference Rates'!$A$21:$A$22,0)),0)</f>
        <v>0</v>
      </c>
      <c r="O34" s="23">
        <f>MIN('Reference Rates'!$B$30,MAX('Reference Rates'!$B$29,MROUND(L34,500)))</f>
        <v>29000</v>
      </c>
      <c r="P34" s="21">
        <f>O34*'Reference Rates'!$B$27</f>
        <v>1450</v>
      </c>
      <c r="Q34" s="21">
        <f>MIN(MAX(L34,'Reference Rates'!$B$39),'Reference Rates'!$B$40)*'Reference Rates'!$B$37</f>
        <v>728</v>
      </c>
      <c r="R34" s="21">
        <f>MIN(L34,'Reference Rates'!$B$46)*IF(L34&gt;1500,'Reference Rates'!$B$43,'Reference Rates'!$B$44)</f>
        <v>200</v>
      </c>
      <c r="S34" s="22">
        <f t="shared" si="3"/>
        <v>2378</v>
      </c>
      <c r="T34" s="21">
        <f t="shared" si="4"/>
        <v>26742</v>
      </c>
      <c r="U34" s="21">
        <f>IF(T34&lt;='Reference Rates'!$D$51,0,IF(T34&lt;='Reference Rates'!$D$52,'Reference Rates'!$B$51+(T34-'Reference Rates'!$D$51)*'Reference Rates'!$C$51,IF(T34&lt;='Reference Rates'!$D$53,'Reference Rates'!$B$52+(T34-'Reference Rates'!$D$52)*'Reference Rates'!$C$52,IF(T34&lt;='Reference Rates'!$D$54,'Reference Rates'!$B$53+(T34-'Reference Rates'!$D$53)*'Reference Rates'!$C$53,IF(T34&lt;='Reference Rates'!$D$55,'Reference Rates'!$B$54+(T34-'Reference Rates'!$D$54)*'Reference Rates'!$C$54,'Reference Rates'!$B$55+(T34-'Reference Rates'!$D$55)*'Reference Rates'!$C$55)))))</f>
        <v>886.35</v>
      </c>
      <c r="V34" s="22">
        <f t="shared" si="5"/>
        <v>3264.35</v>
      </c>
      <c r="W34" s="24">
        <f t="shared" si="6"/>
        <v>27155.65</v>
      </c>
      <c r="X34" s="25">
        <f>O34*'Reference Rates'!$B$28</f>
        <v>2900</v>
      </c>
      <c r="Y34" s="25">
        <f>IF(O34&lt;'Reference Rates'!$B$31,'Reference Rates'!$B$32,'Reference Rates'!$B$33)</f>
        <v>30</v>
      </c>
      <c r="Z34" s="25">
        <f>MIN(MAX(L34,'Reference Rates'!$B$39),'Reference Rates'!$B$40)*'Reference Rates'!$B$38</f>
        <v>728</v>
      </c>
      <c r="AA34" s="25">
        <f>MIN(L34,'Reference Rates'!$B$46)*'Reference Rates'!$B$45</f>
        <v>200</v>
      </c>
      <c r="AB34" s="26">
        <f t="shared" si="7"/>
        <v>3858</v>
      </c>
      <c r="AC34" s="27">
        <f t="shared" si="8"/>
        <v>34278</v>
      </c>
    </row>
    <row r="35" spans="1:29" x14ac:dyDescent="0.35">
      <c r="A35" s="42" t="str">
        <f>'Aug 2026'!A35</f>
        <v>EMP-030</v>
      </c>
      <c r="B35" s="42" t="str">
        <f>IF('Aug 2026'!B35="","",'Aug 2026'!B35)</f>
        <v>Johnbel A. Maliñana</v>
      </c>
      <c r="C35" s="42" t="str">
        <f>'Aug 2026'!C35</f>
        <v>Admin / Supervisory</v>
      </c>
      <c r="D35" s="42" t="str">
        <f>'Aug 2026'!D35</f>
        <v>Operations Manager</v>
      </c>
      <c r="E35" s="43" t="str">
        <f>'Aug 2026'!E35</f>
        <v>N</v>
      </c>
      <c r="F35" s="19">
        <f>'Aug 2026'!F35</f>
        <v>160</v>
      </c>
      <c r="G35" s="20">
        <v>208</v>
      </c>
      <c r="H35" s="20">
        <v>0</v>
      </c>
      <c r="I35" s="20">
        <v>0</v>
      </c>
      <c r="J35" s="21">
        <f t="shared" si="0"/>
        <v>33280</v>
      </c>
      <c r="K35" s="21">
        <f t="shared" si="1"/>
        <v>0</v>
      </c>
      <c r="L35" s="22">
        <f t="shared" si="2"/>
        <v>33280</v>
      </c>
      <c r="M35" s="21">
        <f>'Reference Rates'!$B$19*G35/8</f>
        <v>1300</v>
      </c>
      <c r="N35" s="21">
        <f>I35*IFERROR(INDEX('Reference Rates'!$B$21:$B$22,MATCH(C35,'Reference Rates'!$A$21:$A$22,0)),0)</f>
        <v>0</v>
      </c>
      <c r="O35" s="23">
        <f>MIN('Reference Rates'!$B$30,MAX('Reference Rates'!$B$29,MROUND(L35,500)))</f>
        <v>33500</v>
      </c>
      <c r="P35" s="21">
        <f>O35*'Reference Rates'!$B$27</f>
        <v>1675</v>
      </c>
      <c r="Q35" s="21">
        <f>MIN(MAX(L35,'Reference Rates'!$B$39),'Reference Rates'!$B$40)*'Reference Rates'!$B$37</f>
        <v>832</v>
      </c>
      <c r="R35" s="21">
        <f>MIN(L35,'Reference Rates'!$B$46)*IF(L35&gt;1500,'Reference Rates'!$B$43,'Reference Rates'!$B$44)</f>
        <v>200</v>
      </c>
      <c r="S35" s="22">
        <f t="shared" si="3"/>
        <v>2707</v>
      </c>
      <c r="T35" s="21">
        <f t="shared" si="4"/>
        <v>30573</v>
      </c>
      <c r="U35" s="21">
        <f>IF(T35&lt;='Reference Rates'!$D$51,0,IF(T35&lt;='Reference Rates'!$D$52,'Reference Rates'!$B$51+(T35-'Reference Rates'!$D$51)*'Reference Rates'!$C$51,IF(T35&lt;='Reference Rates'!$D$53,'Reference Rates'!$B$52+(T35-'Reference Rates'!$D$52)*'Reference Rates'!$C$52,IF(T35&lt;='Reference Rates'!$D$54,'Reference Rates'!$B$53+(T35-'Reference Rates'!$D$53)*'Reference Rates'!$C$53,IF(T35&lt;='Reference Rates'!$D$55,'Reference Rates'!$B$54+(T35-'Reference Rates'!$D$54)*'Reference Rates'!$C$54,'Reference Rates'!$B$55+(T35-'Reference Rates'!$D$55)*'Reference Rates'!$C$55)))))</f>
        <v>1461</v>
      </c>
      <c r="V35" s="22">
        <f t="shared" si="5"/>
        <v>4168</v>
      </c>
      <c r="W35" s="24">
        <f t="shared" si="6"/>
        <v>30412</v>
      </c>
      <c r="X35" s="25">
        <f>O35*'Reference Rates'!$B$28</f>
        <v>3350</v>
      </c>
      <c r="Y35" s="25">
        <f>IF(O35&lt;'Reference Rates'!$B$31,'Reference Rates'!$B$32,'Reference Rates'!$B$33)</f>
        <v>30</v>
      </c>
      <c r="Z35" s="25">
        <f>MIN(MAX(L35,'Reference Rates'!$B$39),'Reference Rates'!$B$40)*'Reference Rates'!$B$38</f>
        <v>832</v>
      </c>
      <c r="AA35" s="25">
        <f>MIN(L35,'Reference Rates'!$B$46)*'Reference Rates'!$B$45</f>
        <v>200</v>
      </c>
      <c r="AB35" s="26">
        <f t="shared" si="7"/>
        <v>4412</v>
      </c>
      <c r="AC35" s="27">
        <f t="shared" si="8"/>
        <v>38992</v>
      </c>
    </row>
    <row r="36" spans="1:29" x14ac:dyDescent="0.35">
      <c r="A36" s="57" t="s">
        <v>145</v>
      </c>
      <c r="B36" s="57"/>
      <c r="C36" s="57"/>
      <c r="D36" s="57"/>
      <c r="E36" s="57"/>
      <c r="F36" s="57"/>
      <c r="G36" s="36">
        <f t="shared" ref="G36:N36" si="9">SUM(G6:G35)</f>
        <v>6208</v>
      </c>
      <c r="H36" s="36">
        <f t="shared" si="9"/>
        <v>258</v>
      </c>
      <c r="I36" s="36">
        <f t="shared" si="9"/>
        <v>65</v>
      </c>
      <c r="J36" s="37">
        <f t="shared" si="9"/>
        <v>637100</v>
      </c>
      <c r="K36" s="37">
        <f t="shared" si="9"/>
        <v>32794.53125</v>
      </c>
      <c r="L36" s="37">
        <f t="shared" si="9"/>
        <v>669894.53125</v>
      </c>
      <c r="M36" s="37">
        <f t="shared" si="9"/>
        <v>38800</v>
      </c>
      <c r="N36" s="37">
        <f t="shared" si="9"/>
        <v>46900</v>
      </c>
      <c r="O36" s="2"/>
      <c r="P36" s="37">
        <f t="shared" ref="P36:AC36" si="10">SUM(P6:P35)</f>
        <v>33500</v>
      </c>
      <c r="Q36" s="37">
        <f t="shared" si="10"/>
        <v>16747.36328125</v>
      </c>
      <c r="R36" s="37">
        <f t="shared" si="10"/>
        <v>6000</v>
      </c>
      <c r="S36" s="37">
        <f t="shared" si="10"/>
        <v>56247.36328125</v>
      </c>
      <c r="T36" s="37">
        <f t="shared" si="10"/>
        <v>244319.34375</v>
      </c>
      <c r="U36" s="37">
        <f t="shared" si="10"/>
        <v>5405.8828125</v>
      </c>
      <c r="V36" s="37">
        <f t="shared" si="10"/>
        <v>61653.24609375</v>
      </c>
      <c r="W36" s="37">
        <f t="shared" si="10"/>
        <v>693941.28515625</v>
      </c>
      <c r="X36" s="37">
        <f t="shared" si="10"/>
        <v>67000</v>
      </c>
      <c r="Y36" s="37">
        <f t="shared" si="10"/>
        <v>900</v>
      </c>
      <c r="Z36" s="37">
        <f t="shared" si="10"/>
        <v>16747.36328125</v>
      </c>
      <c r="AA36" s="37">
        <f t="shared" si="10"/>
        <v>6000</v>
      </c>
      <c r="AB36" s="37">
        <f t="shared" si="10"/>
        <v>90647.36328125</v>
      </c>
      <c r="AC36" s="37">
        <f t="shared" si="10"/>
        <v>846241.89453125</v>
      </c>
    </row>
    <row r="38" spans="1:29" x14ac:dyDescent="0.35">
      <c r="A38" s="14" t="s">
        <v>146</v>
      </c>
      <c r="B38" s="38" t="s">
        <v>147</v>
      </c>
      <c r="C38" s="39" t="s">
        <v>148</v>
      </c>
      <c r="D38" s="40" t="s">
        <v>149</v>
      </c>
      <c r="G38" s="41" t="s">
        <v>150</v>
      </c>
    </row>
  </sheetData>
  <mergeCells count="4">
    <mergeCell ref="A1:W1"/>
    <mergeCell ref="A2:W2"/>
    <mergeCell ref="B3:D3"/>
    <mergeCell ref="A36:F36"/>
  </mergeCells>
  <pageMargins left="0.3" right="0.3" top="0.4" bottom="0.7" header="0.511811023622047" footer="0.5"/>
  <pageSetup orientation="landscape" horizontalDpi="300" verticalDpi="300"/>
  <headerFooter>
    <oddFooter>&amp;LPrinted Name: _______________________________&amp;CDate: _______________&amp;RSignature: _______________________________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4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 x14ac:dyDescent="0.35"/>
  <cols>
    <col min="1" max="1" width="11" customWidth="1"/>
    <col min="2" max="2" width="22" customWidth="1"/>
    <col min="3" max="3" width="20" customWidth="1"/>
    <col min="4" max="6" width="15" customWidth="1"/>
    <col min="7" max="7" width="16" customWidth="1"/>
    <col min="8" max="10" width="15" customWidth="1"/>
    <col min="11" max="11" width="18" customWidth="1"/>
  </cols>
  <sheetData>
    <row r="1" spans="1:11" ht="18" x14ac:dyDescent="0.4">
      <c r="A1" s="55" t="s">
        <v>156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24" customHeight="1" x14ac:dyDescent="0.35">
      <c r="A2" s="54" t="s">
        <v>157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4" spans="1:11" ht="30" customHeight="1" x14ac:dyDescent="0.35">
      <c r="A4" s="1" t="s">
        <v>69</v>
      </c>
      <c r="B4" s="1" t="s">
        <v>70</v>
      </c>
      <c r="C4" s="1" t="s">
        <v>71</v>
      </c>
      <c r="D4" s="1" t="s">
        <v>158</v>
      </c>
      <c r="E4" s="1" t="s">
        <v>159</v>
      </c>
      <c r="F4" s="1" t="s">
        <v>160</v>
      </c>
      <c r="G4" s="1" t="s">
        <v>161</v>
      </c>
      <c r="H4" s="15" t="s">
        <v>162</v>
      </c>
      <c r="I4" s="15" t="s">
        <v>163</v>
      </c>
      <c r="J4" s="15" t="s">
        <v>164</v>
      </c>
      <c r="K4" s="15" t="s">
        <v>165</v>
      </c>
    </row>
    <row r="5" spans="1:11" x14ac:dyDescent="0.35">
      <c r="A5" s="42" t="str">
        <f>'Aug 2026'!A6</f>
        <v>EMP-001</v>
      </c>
      <c r="B5" s="42" t="str">
        <f>IF('Aug 2026'!B6="","",'Aug 2026'!B6)</f>
        <v>Mikhail Dustin Elpedes</v>
      </c>
      <c r="C5" s="42" t="str">
        <f>'Aug 2026'!C6</f>
        <v>Store</v>
      </c>
      <c r="D5" s="19">
        <f>'Aug 2026'!W6</f>
        <v>17115.625</v>
      </c>
      <c r="E5" s="19">
        <f>'Sep 2026'!W6</f>
        <v>18261.5546875</v>
      </c>
      <c r="F5" s="19">
        <f>'Oct 2026'!W6</f>
        <v>19904.3671875</v>
      </c>
      <c r="G5" s="22">
        <f t="shared" ref="G5:G34" si="0">SUM(D5:F5)</f>
        <v>55281.546875</v>
      </c>
      <c r="H5" s="47">
        <f>'Aug 2026'!AC6</f>
        <v>21039.375</v>
      </c>
      <c r="I5" s="47">
        <f>'Sep 2026'!AC6</f>
        <v>22394.0703125</v>
      </c>
      <c r="J5" s="47">
        <f>'Oct 2026'!AC6</f>
        <v>24426.2578125</v>
      </c>
      <c r="K5" s="27">
        <f t="shared" ref="K5:K34" si="1">SUM(H5:J5)</f>
        <v>67859.703125</v>
      </c>
    </row>
    <row r="6" spans="1:11" x14ac:dyDescent="0.35">
      <c r="A6" s="42" t="str">
        <f>'Aug 2026'!A7</f>
        <v>EMP-002</v>
      </c>
      <c r="B6" s="42" t="str">
        <f>IF('Aug 2026'!B7="","",'Aug 2026'!B7)</f>
        <v/>
      </c>
      <c r="C6" s="42" t="str">
        <f>'Aug 2026'!C7</f>
        <v>Store</v>
      </c>
      <c r="D6" s="19">
        <f>'Aug 2026'!W7</f>
        <v>18428.5234375</v>
      </c>
      <c r="E6" s="19">
        <f>'Sep 2026'!W7</f>
        <v>18558.76171875</v>
      </c>
      <c r="F6" s="19">
        <f>'Oct 2026'!W7</f>
        <v>19584.30859375</v>
      </c>
      <c r="G6" s="22">
        <f t="shared" si="0"/>
        <v>56571.59375</v>
      </c>
      <c r="H6" s="47">
        <f>'Aug 2026'!AC7</f>
        <v>22569.6015625</v>
      </c>
      <c r="I6" s="47">
        <f>'Sep 2026'!AC7</f>
        <v>22782.80078125</v>
      </c>
      <c r="J6" s="47">
        <f>'Oct 2026'!AC7</f>
        <v>24013.50390625</v>
      </c>
      <c r="K6" s="27">
        <f t="shared" si="1"/>
        <v>69365.90625</v>
      </c>
    </row>
    <row r="7" spans="1:11" x14ac:dyDescent="0.35">
      <c r="A7" s="42" t="str">
        <f>'Aug 2026'!A8</f>
        <v>EMP-003</v>
      </c>
      <c r="B7" s="42" t="str">
        <f>IF('Aug 2026'!B8="","",'Aug 2026'!B8)</f>
        <v/>
      </c>
      <c r="C7" s="42" t="str">
        <f>'Aug 2026'!C8</f>
        <v>Store</v>
      </c>
      <c r="D7" s="19">
        <f>'Aug 2026'!W8</f>
        <v>17115.625</v>
      </c>
      <c r="E7" s="19">
        <f>'Sep 2026'!W8</f>
        <v>18046.75</v>
      </c>
      <c r="F7" s="19">
        <f>'Oct 2026'!W8</f>
        <v>19053.22265625</v>
      </c>
      <c r="G7" s="22">
        <f t="shared" si="0"/>
        <v>54215.59765625</v>
      </c>
      <c r="H7" s="47">
        <f>'Aug 2026'!AC8</f>
        <v>21039.375</v>
      </c>
      <c r="I7" s="47">
        <f>'Sep 2026'!AC8</f>
        <v>22168.25</v>
      </c>
      <c r="J7" s="47">
        <f>'Oct 2026'!AC8</f>
        <v>23381.46484375</v>
      </c>
      <c r="K7" s="27">
        <f t="shared" si="1"/>
        <v>66589.08984375</v>
      </c>
    </row>
    <row r="8" spans="1:11" x14ac:dyDescent="0.35">
      <c r="A8" s="42" t="str">
        <f>'Aug 2026'!A9</f>
        <v>EMP-004</v>
      </c>
      <c r="B8" s="42" t="str">
        <f>IF('Aug 2026'!B9="","",'Aug 2026'!B9)</f>
        <v/>
      </c>
      <c r="C8" s="42" t="str">
        <f>'Aug 2026'!C9</f>
        <v>Store</v>
      </c>
      <c r="D8" s="19">
        <f>'Aug 2026'!W9</f>
        <v>17818.25</v>
      </c>
      <c r="E8" s="19">
        <f>'Sep 2026'!W9</f>
        <v>18451.359375</v>
      </c>
      <c r="F8" s="19">
        <f>'Oct 2026'!W9</f>
        <v>19904.3671875</v>
      </c>
      <c r="G8" s="22">
        <f t="shared" si="0"/>
        <v>56173.9765625</v>
      </c>
      <c r="H8" s="47">
        <f>'Aug 2026'!AC9</f>
        <v>21851.75</v>
      </c>
      <c r="I8" s="47">
        <f>'Sep 2026'!AC9</f>
        <v>22669.890625</v>
      </c>
      <c r="J8" s="47">
        <f>'Oct 2026'!AC9</f>
        <v>24426.2578125</v>
      </c>
      <c r="K8" s="27">
        <f t="shared" si="1"/>
        <v>68947.8984375</v>
      </c>
    </row>
    <row r="9" spans="1:11" x14ac:dyDescent="0.35">
      <c r="A9" s="42" t="str">
        <f>'Aug 2026'!A10</f>
        <v>EMP-005</v>
      </c>
      <c r="B9" s="42" t="str">
        <f>IF('Aug 2026'!B10="","",'Aug 2026'!B10)</f>
        <v/>
      </c>
      <c r="C9" s="42" t="str">
        <f>'Aug 2026'!C10</f>
        <v>Store</v>
      </c>
      <c r="D9" s="19">
        <f>'Aug 2026'!W10</f>
        <v>18005.0078125</v>
      </c>
      <c r="E9" s="19">
        <f>'Sep 2026'!W10</f>
        <v>18046.75</v>
      </c>
      <c r="F9" s="19">
        <f>'Oct 2026'!W10</f>
        <v>20019.38671875</v>
      </c>
      <c r="G9" s="22">
        <f t="shared" si="0"/>
        <v>56071.14453125</v>
      </c>
      <c r="H9" s="47">
        <f>'Aug 2026'!AC10</f>
        <v>22124.3671875</v>
      </c>
      <c r="I9" s="47">
        <f>'Sep 2026'!AC10</f>
        <v>22168.25</v>
      </c>
      <c r="J9" s="47">
        <f>'Oct 2026'!AC10</f>
        <v>24547.17578125</v>
      </c>
      <c r="K9" s="27">
        <f t="shared" si="1"/>
        <v>68839.79296875</v>
      </c>
    </row>
    <row r="10" spans="1:11" x14ac:dyDescent="0.35">
      <c r="A10" s="42" t="str">
        <f>'Aug 2026'!A11</f>
        <v>EMP-006</v>
      </c>
      <c r="B10" s="42" t="str">
        <f>IF('Aug 2026'!B11="","",'Aug 2026'!B11)</f>
        <v/>
      </c>
      <c r="C10" s="42" t="str">
        <f>'Aug 2026'!C11</f>
        <v>Store</v>
      </c>
      <c r="D10" s="19">
        <f>'Aug 2026'!W11</f>
        <v>17818.25</v>
      </c>
      <c r="E10" s="19">
        <f>'Sep 2026'!W11</f>
        <v>18046.75</v>
      </c>
      <c r="F10" s="19">
        <f>'Oct 2026'!W11</f>
        <v>19264.25</v>
      </c>
      <c r="G10" s="22">
        <f t="shared" si="0"/>
        <v>55129.25</v>
      </c>
      <c r="H10" s="47">
        <f>'Aug 2026'!AC11</f>
        <v>21851.75</v>
      </c>
      <c r="I10" s="47">
        <f>'Sep 2026'!AC11</f>
        <v>22168.25</v>
      </c>
      <c r="J10" s="47">
        <f>'Oct 2026'!AC11</f>
        <v>23600.75</v>
      </c>
      <c r="K10" s="27">
        <f t="shared" si="1"/>
        <v>67620.75</v>
      </c>
    </row>
    <row r="11" spans="1:11" x14ac:dyDescent="0.35">
      <c r="A11" s="42" t="str">
        <f>'Aug 2026'!A12</f>
        <v>EMP-007</v>
      </c>
      <c r="B11" s="42" t="str">
        <f>IF('Aug 2026'!B12="","",'Aug 2026'!B12)</f>
        <v/>
      </c>
      <c r="C11" s="42" t="str">
        <f>'Aug 2026'!C12</f>
        <v>Store</v>
      </c>
      <c r="D11" s="19">
        <f>'Aug 2026'!W12</f>
        <v>18615.28125</v>
      </c>
      <c r="E11" s="19">
        <f>'Sep 2026'!W12</f>
        <v>17359.375</v>
      </c>
      <c r="F11" s="19">
        <f>'Oct 2026'!W12</f>
        <v>19814.34765625</v>
      </c>
      <c r="G11" s="22">
        <f t="shared" si="0"/>
        <v>55789.00390625</v>
      </c>
      <c r="H11" s="47">
        <f>'Aug 2026'!AC12</f>
        <v>22842.21875</v>
      </c>
      <c r="I11" s="47">
        <f>'Sep 2026'!AC12</f>
        <v>21295.625</v>
      </c>
      <c r="J11" s="47">
        <f>'Oct 2026'!AC12</f>
        <v>24255.33984375</v>
      </c>
      <c r="K11" s="27">
        <f t="shared" si="1"/>
        <v>68393.18359375</v>
      </c>
    </row>
    <row r="12" spans="1:11" x14ac:dyDescent="0.35">
      <c r="A12" s="42" t="str">
        <f>'Aug 2026'!A13</f>
        <v>EMP-008</v>
      </c>
      <c r="B12" s="42" t="str">
        <f>IF('Aug 2026'!B13="","",'Aug 2026'!B13)</f>
        <v/>
      </c>
      <c r="C12" s="42" t="str">
        <f>'Aug 2026'!C13</f>
        <v>Store</v>
      </c>
      <c r="D12" s="19">
        <f>'Aug 2026'!W13</f>
        <v>17818.25</v>
      </c>
      <c r="E12" s="19">
        <f>'Sep 2026'!W13</f>
        <v>18558.76171875</v>
      </c>
      <c r="F12" s="19">
        <f>'Oct 2026'!W13</f>
        <v>19904.3671875</v>
      </c>
      <c r="G12" s="22">
        <f t="shared" si="0"/>
        <v>56281.37890625</v>
      </c>
      <c r="H12" s="47">
        <f>'Aug 2026'!AC13</f>
        <v>21851.75</v>
      </c>
      <c r="I12" s="47">
        <f>'Sep 2026'!AC13</f>
        <v>22782.80078125</v>
      </c>
      <c r="J12" s="47">
        <f>'Oct 2026'!AC13</f>
        <v>24426.2578125</v>
      </c>
      <c r="K12" s="27">
        <f t="shared" si="1"/>
        <v>69060.80859375</v>
      </c>
    </row>
    <row r="13" spans="1:11" x14ac:dyDescent="0.35">
      <c r="A13" s="42" t="str">
        <f>'Aug 2026'!A14</f>
        <v>EMP-009</v>
      </c>
      <c r="B13" s="42" t="str">
        <f>IF('Aug 2026'!B14="","",'Aug 2026'!B14)</f>
        <v/>
      </c>
      <c r="C13" s="42" t="str">
        <f>'Aug 2026'!C14</f>
        <v>Store</v>
      </c>
      <c r="D13" s="19">
        <f>'Aug 2026'!W14</f>
        <v>17818.25</v>
      </c>
      <c r="E13" s="19">
        <f>'Sep 2026'!W14</f>
        <v>18061.19140625</v>
      </c>
      <c r="F13" s="19">
        <f>'Oct 2026'!W14</f>
        <v>19053.22265625</v>
      </c>
      <c r="G13" s="22">
        <f t="shared" si="0"/>
        <v>54932.6640625</v>
      </c>
      <c r="H13" s="47">
        <f>'Aug 2026'!AC14</f>
        <v>21851.75</v>
      </c>
      <c r="I13" s="47">
        <f>'Sep 2026'!AC14</f>
        <v>22185.99609375</v>
      </c>
      <c r="J13" s="47">
        <f>'Oct 2026'!AC14</f>
        <v>23381.46484375</v>
      </c>
      <c r="K13" s="27">
        <f t="shared" si="1"/>
        <v>67419.2109375</v>
      </c>
    </row>
    <row r="14" spans="1:11" x14ac:dyDescent="0.35">
      <c r="A14" s="42" t="str">
        <f>'Aug 2026'!A15</f>
        <v>EMP-010</v>
      </c>
      <c r="B14" s="42" t="str">
        <f>IF('Aug 2026'!B15="","",'Aug 2026'!B15)</f>
        <v/>
      </c>
      <c r="C14" s="42" t="str">
        <f>'Aug 2026'!C15</f>
        <v>Store</v>
      </c>
      <c r="D14" s="19">
        <f>'Aug 2026'!W15</f>
        <v>17937.65625</v>
      </c>
      <c r="E14" s="19">
        <f>'Sep 2026'!W15</f>
        <v>18558.76171875</v>
      </c>
      <c r="F14" s="19">
        <f>'Oct 2026'!W15</f>
        <v>19904.3671875</v>
      </c>
      <c r="G14" s="22">
        <f t="shared" si="0"/>
        <v>56400.78515625</v>
      </c>
      <c r="H14" s="47">
        <f>'Aug 2026'!AC15</f>
        <v>21979.84375</v>
      </c>
      <c r="I14" s="47">
        <f>'Sep 2026'!AC15</f>
        <v>22782.80078125</v>
      </c>
      <c r="J14" s="47">
        <f>'Oct 2026'!AC15</f>
        <v>24426.2578125</v>
      </c>
      <c r="K14" s="27">
        <f t="shared" si="1"/>
        <v>69188.90234375</v>
      </c>
    </row>
    <row r="15" spans="1:11" x14ac:dyDescent="0.35">
      <c r="A15" s="42" t="str">
        <f>'Aug 2026'!A16</f>
        <v>EMP-011</v>
      </c>
      <c r="B15" s="42" t="str">
        <f>IF('Aug 2026'!B16="","",'Aug 2026'!B16)</f>
        <v/>
      </c>
      <c r="C15" s="42" t="str">
        <f>'Aug 2026'!C16</f>
        <v>Store</v>
      </c>
      <c r="D15" s="19">
        <f>'Aug 2026'!W16</f>
        <v>17818.25</v>
      </c>
      <c r="E15" s="19">
        <f>'Sep 2026'!W16</f>
        <v>18046.75</v>
      </c>
      <c r="F15" s="19">
        <f>'Oct 2026'!W16</f>
        <v>20134.40625</v>
      </c>
      <c r="G15" s="22">
        <f t="shared" si="0"/>
        <v>55999.40625</v>
      </c>
      <c r="H15" s="47">
        <f>'Aug 2026'!AC16</f>
        <v>21851.75</v>
      </c>
      <c r="I15" s="47">
        <f>'Sep 2026'!AC16</f>
        <v>22168.25</v>
      </c>
      <c r="J15" s="47">
        <f>'Oct 2026'!AC16</f>
        <v>24668.09375</v>
      </c>
      <c r="K15" s="27">
        <f t="shared" si="1"/>
        <v>68688.09375</v>
      </c>
    </row>
    <row r="16" spans="1:11" x14ac:dyDescent="0.35">
      <c r="A16" s="42" t="str">
        <f>'Aug 2026'!A17</f>
        <v>EMP-012</v>
      </c>
      <c r="B16" s="42" t="str">
        <f>IF('Aug 2026'!B17="","",'Aug 2026'!B17)</f>
        <v/>
      </c>
      <c r="C16" s="42" t="str">
        <f>'Aug 2026'!C17</f>
        <v>Store</v>
      </c>
      <c r="D16" s="19">
        <f>'Aug 2026'!W17</f>
        <v>17818.25</v>
      </c>
      <c r="E16" s="19">
        <f>'Sep 2026'!W17</f>
        <v>18046.75</v>
      </c>
      <c r="F16" s="19">
        <f>'Oct 2026'!W17</f>
        <v>19168.2421875</v>
      </c>
      <c r="G16" s="22">
        <f t="shared" si="0"/>
        <v>55033.2421875</v>
      </c>
      <c r="H16" s="47">
        <f>'Aug 2026'!AC17</f>
        <v>21851.75</v>
      </c>
      <c r="I16" s="47">
        <f>'Sep 2026'!AC17</f>
        <v>22168.25</v>
      </c>
      <c r="J16" s="47">
        <f>'Oct 2026'!AC17</f>
        <v>23502.3828125</v>
      </c>
      <c r="K16" s="27">
        <f t="shared" si="1"/>
        <v>67522.3828125</v>
      </c>
    </row>
    <row r="17" spans="1:11" x14ac:dyDescent="0.35">
      <c r="A17" s="42" t="str">
        <f>'Aug 2026'!A18</f>
        <v>EMP-013</v>
      </c>
      <c r="B17" s="42" t="str">
        <f>IF('Aug 2026'!B18="","",'Aug 2026'!B18)</f>
        <v>John Carlo Escartin</v>
      </c>
      <c r="C17" s="42" t="str">
        <f>'Aug 2026'!C18</f>
        <v>Warehouse</v>
      </c>
      <c r="D17" s="19">
        <f>'Aug 2026'!W18</f>
        <v>18907.91796875</v>
      </c>
      <c r="E17" s="19">
        <f>'Sep 2026'!W18</f>
        <v>18046.75</v>
      </c>
      <c r="F17" s="19">
        <f>'Oct 2026'!W18</f>
        <v>20454.46484375</v>
      </c>
      <c r="G17" s="22">
        <f t="shared" si="0"/>
        <v>57409.1328125</v>
      </c>
      <c r="H17" s="47">
        <f>'Aug 2026'!AC18</f>
        <v>23226.14453125</v>
      </c>
      <c r="I17" s="47">
        <f>'Sep 2026'!AC18</f>
        <v>22168.25</v>
      </c>
      <c r="J17" s="47">
        <f>'Oct 2026'!AC18</f>
        <v>25080.84765625</v>
      </c>
      <c r="K17" s="27">
        <f t="shared" si="1"/>
        <v>70475.2421875</v>
      </c>
    </row>
    <row r="18" spans="1:11" x14ac:dyDescent="0.35">
      <c r="A18" s="42" t="str">
        <f>'Aug 2026'!A19</f>
        <v>EMP-014</v>
      </c>
      <c r="B18" s="42" t="str">
        <f>IF('Aug 2026'!B19="","",'Aug 2026'!B19)</f>
        <v/>
      </c>
      <c r="C18" s="42" t="str">
        <f>'Aug 2026'!C19</f>
        <v>Warehouse</v>
      </c>
      <c r="D18" s="19">
        <f>'Aug 2026'!W19</f>
        <v>18216.765625</v>
      </c>
      <c r="E18" s="19">
        <f>'Sep 2026'!W19</f>
        <v>18558.76171875</v>
      </c>
      <c r="F18" s="19">
        <f>'Oct 2026'!W19</f>
        <v>20569.484375</v>
      </c>
      <c r="G18" s="22">
        <f t="shared" si="0"/>
        <v>57345.01171875</v>
      </c>
      <c r="H18" s="47">
        <f>'Aug 2026'!AC19</f>
        <v>22346.984375</v>
      </c>
      <c r="I18" s="47">
        <f>'Sep 2026'!AC19</f>
        <v>22782.80078125</v>
      </c>
      <c r="J18" s="47">
        <f>'Oct 2026'!AC19</f>
        <v>25201.765625</v>
      </c>
      <c r="K18" s="27">
        <f t="shared" si="1"/>
        <v>70331.55078125</v>
      </c>
    </row>
    <row r="19" spans="1:11" x14ac:dyDescent="0.35">
      <c r="A19" s="42" t="str">
        <f>'Aug 2026'!A20</f>
        <v>EMP-015</v>
      </c>
      <c r="B19" s="42" t="str">
        <f>IF('Aug 2026'!B20="","",'Aug 2026'!B20)</f>
        <v/>
      </c>
      <c r="C19" s="42" t="str">
        <f>'Aug 2026'!C20</f>
        <v>Warehouse</v>
      </c>
      <c r="D19" s="19">
        <f>'Aug 2026'!W20</f>
        <v>18428.5234375</v>
      </c>
      <c r="E19" s="19">
        <f>'Sep 2026'!W20</f>
        <v>19178.17578125</v>
      </c>
      <c r="F19" s="19">
        <f>'Oct 2026'!W20</f>
        <v>20454.46484375</v>
      </c>
      <c r="G19" s="22">
        <f t="shared" si="0"/>
        <v>58061.1640625</v>
      </c>
      <c r="H19" s="47">
        <f>'Aug 2026'!AC20</f>
        <v>22569.6015625</v>
      </c>
      <c r="I19" s="47">
        <f>'Sep 2026'!AC20</f>
        <v>23510.26171875</v>
      </c>
      <c r="J19" s="47">
        <f>'Oct 2026'!AC20</f>
        <v>25080.84765625</v>
      </c>
      <c r="K19" s="27">
        <f t="shared" si="1"/>
        <v>71160.7109375</v>
      </c>
    </row>
    <row r="20" spans="1:11" x14ac:dyDescent="0.35">
      <c r="A20" s="42" t="str">
        <f>'Aug 2026'!A21</f>
        <v>EMP-016</v>
      </c>
      <c r="B20" s="42" t="str">
        <f>IF('Aug 2026'!B21="","",'Aug 2026'!B21)</f>
        <v/>
      </c>
      <c r="C20" s="42" t="str">
        <f>'Aug 2026'!C21</f>
        <v>Warehouse</v>
      </c>
      <c r="D20" s="19">
        <f>'Aug 2026'!W21</f>
        <v>17818.25</v>
      </c>
      <c r="E20" s="19">
        <f>'Sep 2026'!W21</f>
        <v>18046.75</v>
      </c>
      <c r="F20" s="19">
        <f>'Oct 2026'!W21</f>
        <v>19264.25</v>
      </c>
      <c r="G20" s="22">
        <f t="shared" si="0"/>
        <v>55129.25</v>
      </c>
      <c r="H20" s="47">
        <f>'Aug 2026'!AC21</f>
        <v>21851.75</v>
      </c>
      <c r="I20" s="47">
        <f>'Sep 2026'!AC21</f>
        <v>22168.25</v>
      </c>
      <c r="J20" s="47">
        <f>'Oct 2026'!AC21</f>
        <v>23600.75</v>
      </c>
      <c r="K20" s="27">
        <f t="shared" si="1"/>
        <v>67620.75</v>
      </c>
    </row>
    <row r="21" spans="1:11" x14ac:dyDescent="0.35">
      <c r="A21" s="42" t="str">
        <f>'Aug 2026'!A22</f>
        <v>EMP-017</v>
      </c>
      <c r="B21" s="42" t="str">
        <f>IF('Aug 2026'!B22="","",'Aug 2026'!B22)</f>
        <v/>
      </c>
      <c r="C21" s="42" t="str">
        <f>'Aug 2026'!C22</f>
        <v>Warehouse</v>
      </c>
      <c r="D21" s="19">
        <f>'Aug 2026'!W22</f>
        <v>18322.64453125</v>
      </c>
      <c r="E21" s="19">
        <f>'Sep 2026'!W22</f>
        <v>18046.75</v>
      </c>
      <c r="F21" s="19">
        <f>'Oct 2026'!W22</f>
        <v>18503.125</v>
      </c>
      <c r="G21" s="22">
        <f t="shared" si="0"/>
        <v>54872.51953125</v>
      </c>
      <c r="H21" s="47">
        <f>'Aug 2026'!AC22</f>
        <v>22458.29296875</v>
      </c>
      <c r="I21" s="47">
        <f>'Sep 2026'!AC22</f>
        <v>22168.25</v>
      </c>
      <c r="J21" s="47">
        <f>'Oct 2026'!AC22</f>
        <v>22726.875</v>
      </c>
      <c r="K21" s="27">
        <f t="shared" si="1"/>
        <v>67353.41796875</v>
      </c>
    </row>
    <row r="22" spans="1:11" x14ac:dyDescent="0.35">
      <c r="A22" s="42" t="str">
        <f>'Aug 2026'!A23</f>
        <v>EMP-018</v>
      </c>
      <c r="B22" s="42" t="str">
        <f>IF('Aug 2026'!B23="","",'Aug 2026'!B23)</f>
        <v/>
      </c>
      <c r="C22" s="42" t="str">
        <f>'Aug 2026'!C23</f>
        <v>Warehouse</v>
      </c>
      <c r="D22" s="19">
        <f>'Aug 2026'!W23</f>
        <v>17818.25</v>
      </c>
      <c r="E22" s="19">
        <f>'Sep 2026'!W23</f>
        <v>18451.359375</v>
      </c>
      <c r="F22" s="19">
        <f>'Oct 2026'!W23</f>
        <v>20454.46484375</v>
      </c>
      <c r="G22" s="22">
        <f t="shared" si="0"/>
        <v>56724.07421875</v>
      </c>
      <c r="H22" s="47">
        <f>'Aug 2026'!AC23</f>
        <v>21851.75</v>
      </c>
      <c r="I22" s="47">
        <f>'Sep 2026'!AC23</f>
        <v>22669.890625</v>
      </c>
      <c r="J22" s="47">
        <f>'Oct 2026'!AC23</f>
        <v>25080.84765625</v>
      </c>
      <c r="K22" s="27">
        <f t="shared" si="1"/>
        <v>69602.48828125</v>
      </c>
    </row>
    <row r="23" spans="1:11" x14ac:dyDescent="0.35">
      <c r="A23" s="42" t="str">
        <f>'Aug 2026'!A24</f>
        <v>EMP-019</v>
      </c>
      <c r="B23" s="42" t="str">
        <f>IF('Aug 2026'!B24="","",'Aug 2026'!B24)</f>
        <v/>
      </c>
      <c r="C23" s="42" t="str">
        <f>'Aug 2026'!C24</f>
        <v>Warehouse</v>
      </c>
      <c r="D23" s="19">
        <f>'Aug 2026'!W24</f>
        <v>19013.796875</v>
      </c>
      <c r="E23" s="19">
        <f>'Sep 2026'!W24</f>
        <v>19367.98046875</v>
      </c>
      <c r="F23" s="19">
        <f>'Oct 2026'!W24</f>
        <v>19814.34765625</v>
      </c>
      <c r="G23" s="22">
        <f t="shared" si="0"/>
        <v>58196.125</v>
      </c>
      <c r="H23" s="47">
        <f>'Aug 2026'!AC24</f>
        <v>23337.453125</v>
      </c>
      <c r="I23" s="47">
        <f>'Sep 2026'!AC24</f>
        <v>23786.08203125</v>
      </c>
      <c r="J23" s="47">
        <f>'Oct 2026'!AC24</f>
        <v>24255.33984375</v>
      </c>
      <c r="K23" s="27">
        <f t="shared" si="1"/>
        <v>71378.875</v>
      </c>
    </row>
    <row r="24" spans="1:11" x14ac:dyDescent="0.35">
      <c r="A24" s="42" t="str">
        <f>'Aug 2026'!A25</f>
        <v>EMP-020</v>
      </c>
      <c r="B24" s="42" t="str">
        <f>IF('Aug 2026'!B25="","",'Aug 2026'!B25)</f>
        <v/>
      </c>
      <c r="C24" s="42" t="str">
        <f>'Aug 2026'!C25</f>
        <v>Warehouse</v>
      </c>
      <c r="D24" s="19">
        <f>'Aug 2026'!W25</f>
        <v>17818.25</v>
      </c>
      <c r="E24" s="19">
        <f>'Sep 2026'!W25</f>
        <v>18680.60546875</v>
      </c>
      <c r="F24" s="19">
        <f>'Oct 2026'!W25</f>
        <v>19904.3671875</v>
      </c>
      <c r="G24" s="22">
        <f t="shared" si="0"/>
        <v>56403.22265625</v>
      </c>
      <c r="H24" s="47">
        <f>'Aug 2026'!AC25</f>
        <v>21851.75</v>
      </c>
      <c r="I24" s="47">
        <f>'Sep 2026'!AC25</f>
        <v>22913.45703125</v>
      </c>
      <c r="J24" s="47">
        <f>'Oct 2026'!AC25</f>
        <v>24426.2578125</v>
      </c>
      <c r="K24" s="27">
        <f t="shared" si="1"/>
        <v>69191.46484375</v>
      </c>
    </row>
    <row r="25" spans="1:11" x14ac:dyDescent="0.35">
      <c r="A25" s="44" t="str">
        <f>'Aug 2026'!A26</f>
        <v>EMP-021</v>
      </c>
      <c r="B25" s="44" t="str">
        <f>IF('Aug 2026'!B26="","",'Aug 2026'!B26)</f>
        <v>Joshua Cedric D. Cortez</v>
      </c>
      <c r="C25" s="44" t="str">
        <f>'Aug 2026'!C26</f>
        <v>Delivery – Luzon</v>
      </c>
      <c r="D25" s="46">
        <f>'Aug 2026'!W26</f>
        <v>25717.5</v>
      </c>
      <c r="E25" s="46">
        <f>'Sep 2026'!W26</f>
        <v>25559.375</v>
      </c>
      <c r="F25" s="46">
        <f>'Oct 2026'!W26</f>
        <v>27083.125</v>
      </c>
      <c r="G25" s="32">
        <f t="shared" si="0"/>
        <v>78360</v>
      </c>
      <c r="H25" s="47">
        <f>'Aug 2026'!AC26</f>
        <v>30637.5</v>
      </c>
      <c r="I25" s="47">
        <f>'Sep 2026'!AC26</f>
        <v>30295.625</v>
      </c>
      <c r="J25" s="47">
        <f>'Oct 2026'!AC26</f>
        <v>32021.875</v>
      </c>
      <c r="K25" s="27">
        <f t="shared" si="1"/>
        <v>92955</v>
      </c>
    </row>
    <row r="26" spans="1:11" x14ac:dyDescent="0.35">
      <c r="A26" s="44" t="str">
        <f>'Aug 2026'!A27</f>
        <v>EMP-022</v>
      </c>
      <c r="B26" s="44" t="str">
        <f>IF('Aug 2026'!B27="","",'Aug 2026'!B27)</f>
        <v/>
      </c>
      <c r="C26" s="44" t="str">
        <f>'Aug 2026'!C27</f>
        <v>Delivery – Luzon</v>
      </c>
      <c r="D26" s="46">
        <f>'Aug 2026'!W27</f>
        <v>25856.310937499999</v>
      </c>
      <c r="E26" s="46">
        <f>'Sep 2026'!W27</f>
        <v>28183.998437499999</v>
      </c>
      <c r="F26" s="46">
        <f>'Oct 2026'!W27</f>
        <v>27989.068749999999</v>
      </c>
      <c r="G26" s="32">
        <f t="shared" si="0"/>
        <v>82029.378124999988</v>
      </c>
      <c r="H26" s="47">
        <f>'Aug 2026'!AC27</f>
        <v>30926.78125</v>
      </c>
      <c r="I26" s="47">
        <f>'Sep 2026'!AC27</f>
        <v>33603.03125</v>
      </c>
      <c r="J26" s="47">
        <f>'Oct 2026'!AC27</f>
        <v>33556.625</v>
      </c>
      <c r="K26" s="27">
        <f t="shared" si="1"/>
        <v>98086.4375</v>
      </c>
    </row>
    <row r="27" spans="1:11" x14ac:dyDescent="0.35">
      <c r="A27" s="44" t="str">
        <f>'Aug 2026'!A28</f>
        <v>EMP-023</v>
      </c>
      <c r="B27" s="44" t="str">
        <f>IF('Aug 2026'!B28="","",'Aug 2026'!B28)</f>
        <v/>
      </c>
      <c r="C27" s="44" t="str">
        <f>'Aug 2026'!C28</f>
        <v>Delivery – Luzon</v>
      </c>
      <c r="D27" s="46">
        <f>'Aug 2026'!W28</f>
        <v>26672.95</v>
      </c>
      <c r="E27" s="46">
        <f>'Sep 2026'!W28</f>
        <v>25961.25</v>
      </c>
      <c r="F27" s="46">
        <f>'Oct 2026'!W28</f>
        <v>27380.137500000001</v>
      </c>
      <c r="G27" s="32">
        <f t="shared" si="0"/>
        <v>80014.337499999994</v>
      </c>
      <c r="H27" s="47">
        <f>'Aug 2026'!AC28</f>
        <v>31700</v>
      </c>
      <c r="I27" s="47">
        <f>'Sep 2026'!AC28</f>
        <v>30893.75</v>
      </c>
      <c r="J27" s="47">
        <f>'Oct 2026'!AC28</f>
        <v>32456.25</v>
      </c>
      <c r="K27" s="27">
        <f t="shared" si="1"/>
        <v>95050</v>
      </c>
    </row>
    <row r="28" spans="1:11" x14ac:dyDescent="0.35">
      <c r="A28" s="44" t="str">
        <f>'Aug 2026'!A29</f>
        <v>EMP-024</v>
      </c>
      <c r="B28" s="44" t="str">
        <f>IF('Aug 2026'!B29="","",'Aug 2026'!B29)</f>
        <v>Tristan Judd Mari Magsino</v>
      </c>
      <c r="C28" s="44" t="str">
        <f>'Aug 2026'!C29</f>
        <v>Delivery – Samar</v>
      </c>
      <c r="D28" s="46">
        <f>'Aug 2026'!W29</f>
        <v>33732.671875</v>
      </c>
      <c r="E28" s="46">
        <f>'Sep 2026'!W29</f>
        <v>35418.71875</v>
      </c>
      <c r="F28" s="46">
        <f>'Oct 2026'!W29</f>
        <v>37073.890625</v>
      </c>
      <c r="G28" s="32">
        <f t="shared" si="0"/>
        <v>106225.28125</v>
      </c>
      <c r="H28" s="47">
        <f>'Aug 2026'!AC29</f>
        <v>39823.5625</v>
      </c>
      <c r="I28" s="47">
        <f>'Sep 2026'!AC29</f>
        <v>41482.625</v>
      </c>
      <c r="J28" s="47">
        <f>'Oct 2026'!AC29</f>
        <v>43469.1875</v>
      </c>
      <c r="K28" s="27">
        <f t="shared" si="1"/>
        <v>124775.375</v>
      </c>
    </row>
    <row r="29" spans="1:11" x14ac:dyDescent="0.35">
      <c r="A29" s="44" t="str">
        <f>'Aug 2026'!A30</f>
        <v>EMP-025</v>
      </c>
      <c r="B29" s="44" t="str">
        <f>IF('Aug 2026'!B30="","",'Aug 2026'!B30)</f>
        <v/>
      </c>
      <c r="C29" s="44" t="str">
        <f>'Aug 2026'!C30</f>
        <v>Delivery – Samar</v>
      </c>
      <c r="D29" s="46">
        <f>'Aug 2026'!W30</f>
        <v>33879.775000000001</v>
      </c>
      <c r="E29" s="46">
        <f>'Sep 2026'!W30</f>
        <v>35332.939062500001</v>
      </c>
      <c r="F29" s="46">
        <f>'Oct 2026'!W30</f>
        <v>37143.501562500001</v>
      </c>
      <c r="G29" s="32">
        <f t="shared" si="0"/>
        <v>106356.21562500001</v>
      </c>
      <c r="H29" s="47">
        <f>'Aug 2026'!AC30</f>
        <v>40005.5</v>
      </c>
      <c r="I29" s="47">
        <f>'Sep 2026'!AC30</f>
        <v>41742.21875</v>
      </c>
      <c r="J29" s="47">
        <f>'Oct 2026'!AC30</f>
        <v>43920.96875</v>
      </c>
      <c r="K29" s="27">
        <f t="shared" si="1"/>
        <v>125668.6875</v>
      </c>
    </row>
    <row r="30" spans="1:11" x14ac:dyDescent="0.35">
      <c r="A30" s="44" t="str">
        <f>'Aug 2026'!A31</f>
        <v>EMP-026</v>
      </c>
      <c r="B30" s="44" t="str">
        <f>IF('Aug 2026'!B31="","",'Aug 2026'!B31)</f>
        <v/>
      </c>
      <c r="C30" s="44" t="str">
        <f>'Aug 2026'!C31</f>
        <v>Delivery – Samar</v>
      </c>
      <c r="D30" s="46">
        <f>'Aug 2026'!W31</f>
        <v>31177.5</v>
      </c>
      <c r="E30" s="46">
        <f>'Sep 2026'!W31</f>
        <v>35646.625</v>
      </c>
      <c r="F30" s="46">
        <f>'Oct 2026'!W31</f>
        <v>35181.1875</v>
      </c>
      <c r="G30" s="32">
        <f t="shared" si="0"/>
        <v>102005.3125</v>
      </c>
      <c r="H30" s="47">
        <f>'Aug 2026'!AC31</f>
        <v>36937</v>
      </c>
      <c r="I30" s="47">
        <f>'Sep 2026'!AC31</f>
        <v>41764.5</v>
      </c>
      <c r="J30" s="47">
        <f>'Oct 2026'!AC31</f>
        <v>41478.25</v>
      </c>
      <c r="K30" s="27">
        <f t="shared" si="1"/>
        <v>120179.75</v>
      </c>
    </row>
    <row r="31" spans="1:11" x14ac:dyDescent="0.35">
      <c r="A31" s="42" t="str">
        <f>'Aug 2026'!A32</f>
        <v>EMP-027</v>
      </c>
      <c r="B31" s="42" t="str">
        <f>IF('Aug 2026'!B32="","",'Aug 2026'!B32)</f>
        <v/>
      </c>
      <c r="C31" s="42" t="str">
        <f>'Aug 2026'!C32</f>
        <v>Admin / Supervisory</v>
      </c>
      <c r="D31" s="19">
        <f>'Aug 2026'!W32</f>
        <v>24229.737499999999</v>
      </c>
      <c r="E31" s="19">
        <f>'Sep 2026'!W32</f>
        <v>23878.05</v>
      </c>
      <c r="F31" s="19">
        <f>'Oct 2026'!W32</f>
        <v>23878.05</v>
      </c>
      <c r="G31" s="22">
        <f t="shared" si="0"/>
        <v>71985.837499999994</v>
      </c>
      <c r="H31" s="47">
        <f>'Aug 2026'!AC32</f>
        <v>30125.25</v>
      </c>
      <c r="I31" s="47">
        <f>'Sep 2026'!AC32</f>
        <v>29614</v>
      </c>
      <c r="J31" s="47">
        <f>'Oct 2026'!AC32</f>
        <v>29614</v>
      </c>
      <c r="K31" s="27">
        <f t="shared" si="1"/>
        <v>89353.25</v>
      </c>
    </row>
    <row r="32" spans="1:11" x14ac:dyDescent="0.35">
      <c r="A32" s="42" t="str">
        <f>'Aug 2026'!A33</f>
        <v>EMP-028</v>
      </c>
      <c r="B32" s="42" t="str">
        <f>IF('Aug 2026'!B33="","",'Aug 2026'!B33)</f>
        <v/>
      </c>
      <c r="C32" s="42" t="str">
        <f>'Aug 2026'!C33</f>
        <v>Admin / Supervisory</v>
      </c>
      <c r="D32" s="19">
        <f>'Aug 2026'!W33</f>
        <v>25516.85</v>
      </c>
      <c r="E32" s="19">
        <f>'Sep 2026'!W33</f>
        <v>25516.85</v>
      </c>
      <c r="F32" s="19">
        <f>'Oct 2026'!W33</f>
        <v>25516.85</v>
      </c>
      <c r="G32" s="22">
        <f t="shared" si="0"/>
        <v>76550.549999999988</v>
      </c>
      <c r="H32" s="47">
        <f>'Aug 2026'!AC33</f>
        <v>31946</v>
      </c>
      <c r="I32" s="47">
        <f>'Sep 2026'!AC33</f>
        <v>31946</v>
      </c>
      <c r="J32" s="47">
        <f>'Oct 2026'!AC33</f>
        <v>31946</v>
      </c>
      <c r="K32" s="27">
        <f t="shared" si="1"/>
        <v>95838</v>
      </c>
    </row>
    <row r="33" spans="1:11" x14ac:dyDescent="0.35">
      <c r="A33" s="42" t="str">
        <f>'Aug 2026'!A34</f>
        <v>EMP-029</v>
      </c>
      <c r="B33" s="42" t="str">
        <f>IF('Aug 2026'!B34="","",'Aug 2026'!B34)</f>
        <v/>
      </c>
      <c r="C33" s="42" t="str">
        <f>'Aug 2026'!C34</f>
        <v>Admin / Supervisory</v>
      </c>
      <c r="D33" s="19">
        <f>'Aug 2026'!W34</f>
        <v>27155.65</v>
      </c>
      <c r="E33" s="19">
        <f>'Sep 2026'!W34</f>
        <v>27155.65</v>
      </c>
      <c r="F33" s="19">
        <f>'Oct 2026'!W34</f>
        <v>27155.65</v>
      </c>
      <c r="G33" s="22">
        <f t="shared" si="0"/>
        <v>81466.950000000012</v>
      </c>
      <c r="H33" s="47">
        <f>'Aug 2026'!AC34</f>
        <v>34278</v>
      </c>
      <c r="I33" s="47">
        <f>'Sep 2026'!AC34</f>
        <v>34278</v>
      </c>
      <c r="J33" s="47">
        <f>'Oct 2026'!AC34</f>
        <v>34278</v>
      </c>
      <c r="K33" s="27">
        <f t="shared" si="1"/>
        <v>102834</v>
      </c>
    </row>
    <row r="34" spans="1:11" x14ac:dyDescent="0.35">
      <c r="A34" s="42" t="str">
        <f>'Aug 2026'!A35</f>
        <v>EMP-030</v>
      </c>
      <c r="B34" s="42" t="str">
        <f>IF('Aug 2026'!B35="","",'Aug 2026'!B35)</f>
        <v>Johnbel A. Maliñana</v>
      </c>
      <c r="C34" s="42" t="str">
        <f>'Aug 2026'!C35</f>
        <v>Admin / Supervisory</v>
      </c>
      <c r="D34" s="19">
        <f>'Aug 2026'!W35</f>
        <v>30412</v>
      </c>
      <c r="E34" s="19">
        <f>'Sep 2026'!W35</f>
        <v>30412</v>
      </c>
      <c r="F34" s="19">
        <f>'Oct 2026'!W35</f>
        <v>30412</v>
      </c>
      <c r="G34" s="22">
        <f t="shared" si="0"/>
        <v>91236</v>
      </c>
      <c r="H34" s="47">
        <f>'Aug 2026'!AC35</f>
        <v>38992</v>
      </c>
      <c r="I34" s="47">
        <f>'Sep 2026'!AC35</f>
        <v>38992</v>
      </c>
      <c r="J34" s="47">
        <f>'Oct 2026'!AC35</f>
        <v>38992</v>
      </c>
      <c r="K34" s="27">
        <f t="shared" si="1"/>
        <v>116976</v>
      </c>
    </row>
    <row r="35" spans="1:11" x14ac:dyDescent="0.35">
      <c r="A35" s="57" t="s">
        <v>145</v>
      </c>
      <c r="B35" s="57"/>
      <c r="C35" s="57"/>
      <c r="D35" s="37">
        <f t="shared" ref="D35:K35" si="2">SUM(D5:D34)</f>
        <v>644822.5625</v>
      </c>
      <c r="E35" s="37">
        <f t="shared" si="2"/>
        <v>659486.10468750005</v>
      </c>
      <c r="F35" s="37">
        <f t="shared" si="2"/>
        <v>693941.28515625</v>
      </c>
      <c r="G35" s="37">
        <f t="shared" si="2"/>
        <v>1998249.9523437498</v>
      </c>
      <c r="H35" s="37">
        <f t="shared" si="2"/>
        <v>787570.6015625</v>
      </c>
      <c r="I35" s="37">
        <f t="shared" si="2"/>
        <v>804514.2265625</v>
      </c>
      <c r="J35" s="37">
        <f t="shared" si="2"/>
        <v>846241.89453125</v>
      </c>
      <c r="K35" s="37">
        <f t="shared" si="2"/>
        <v>2438326.72265625</v>
      </c>
    </row>
    <row r="37" spans="1:11" x14ac:dyDescent="0.35">
      <c r="A37" s="53" t="s">
        <v>166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</row>
    <row r="38" spans="1:11" ht="30" customHeight="1" x14ac:dyDescent="0.35">
      <c r="A38" s="59" t="s">
        <v>71</v>
      </c>
      <c r="B38" s="59"/>
      <c r="C38" s="1" t="s">
        <v>167</v>
      </c>
      <c r="D38" s="1" t="s">
        <v>168</v>
      </c>
      <c r="E38" s="1" t="s">
        <v>169</v>
      </c>
      <c r="F38" s="1" t="s">
        <v>170</v>
      </c>
    </row>
    <row r="39" spans="1:11" x14ac:dyDescent="0.35">
      <c r="A39" s="58" t="s">
        <v>99</v>
      </c>
      <c r="B39" s="58"/>
      <c r="C39" s="48">
        <f>COUNTIF($C$5:$C$34,A39)</f>
        <v>12</v>
      </c>
      <c r="D39" s="21">
        <f>SUMIF($C$5:$C$34,A39,$G$5:$G$34)</f>
        <v>667879.58984375</v>
      </c>
      <c r="E39" s="21">
        <f>SUMIF($C$5:$C$34,A39,$K$5:$K$34)</f>
        <v>819495.72265625</v>
      </c>
      <c r="F39" s="49">
        <f>E39/$E$44</f>
        <v>0.33608938254325188</v>
      </c>
    </row>
    <row r="40" spans="1:11" x14ac:dyDescent="0.35">
      <c r="A40" s="58" t="s">
        <v>116</v>
      </c>
      <c r="B40" s="58"/>
      <c r="C40" s="48">
        <f>COUNTIF($C$5:$C$34,A40)</f>
        <v>8</v>
      </c>
      <c r="D40" s="21">
        <f>SUMIF($C$5:$C$34,A40,$G$5:$G$34)</f>
        <v>454140.5</v>
      </c>
      <c r="E40" s="21">
        <f>SUMIF($C$5:$C$34,A40,$K$5:$K$34)</f>
        <v>557114.5</v>
      </c>
      <c r="F40" s="49">
        <f>E40/$E$44</f>
        <v>0.22848230092524019</v>
      </c>
    </row>
    <row r="41" spans="1:11" x14ac:dyDescent="0.35">
      <c r="A41" s="58" t="s">
        <v>24</v>
      </c>
      <c r="B41" s="58"/>
      <c r="C41" s="48">
        <f>COUNTIF($C$5:$C$34,A41)</f>
        <v>3</v>
      </c>
      <c r="D41" s="21">
        <f>SUMIF($C$5:$C$34,A41,$G$5:$G$34)</f>
        <v>240403.71562499998</v>
      </c>
      <c r="E41" s="21">
        <f>SUMIF($C$5:$C$34,A41,$K$5:$K$34)</f>
        <v>286091.4375</v>
      </c>
      <c r="F41" s="49">
        <f>E41/$E$44</f>
        <v>0.11733105118428895</v>
      </c>
    </row>
    <row r="42" spans="1:11" x14ac:dyDescent="0.35">
      <c r="A42" s="58" t="s">
        <v>25</v>
      </c>
      <c r="B42" s="58"/>
      <c r="C42" s="48">
        <f>COUNTIF($C$5:$C$34,A42)</f>
        <v>3</v>
      </c>
      <c r="D42" s="21">
        <f>SUMIF($C$5:$C$34,A42,$G$5:$G$34)</f>
        <v>314586.80937500001</v>
      </c>
      <c r="E42" s="21">
        <f>SUMIF($C$5:$C$34,A42,$K$5:$K$34)</f>
        <v>370623.8125</v>
      </c>
      <c r="F42" s="49">
        <f>E42/$E$44</f>
        <v>0.15199924155211325</v>
      </c>
    </row>
    <row r="43" spans="1:11" x14ac:dyDescent="0.35">
      <c r="A43" s="58" t="s">
        <v>137</v>
      </c>
      <c r="B43" s="58"/>
      <c r="C43" s="48">
        <f>COUNTIF($C$5:$C$34,A43)</f>
        <v>4</v>
      </c>
      <c r="D43" s="21">
        <f>SUMIF($C$5:$C$34,A43,$G$5:$G$34)</f>
        <v>321239.33750000002</v>
      </c>
      <c r="E43" s="21">
        <f>SUMIF($C$5:$C$34,A43,$K$5:$K$34)</f>
        <v>405001.25</v>
      </c>
      <c r="F43" s="49">
        <f>E43/$E$44</f>
        <v>0.16609802379510574</v>
      </c>
    </row>
    <row r="44" spans="1:11" x14ac:dyDescent="0.35">
      <c r="A44" s="57" t="s">
        <v>145</v>
      </c>
      <c r="B44" s="57"/>
      <c r="C44" s="50">
        <f>SUM(C39:C43)</f>
        <v>30</v>
      </c>
      <c r="D44" s="37">
        <f>SUM(D39:D43)</f>
        <v>1998249.9523437498</v>
      </c>
      <c r="E44" s="37">
        <f>SUM(E39:E43)</f>
        <v>2438326.72265625</v>
      </c>
      <c r="F44" s="51">
        <f>SUM(F39:F43)</f>
        <v>1</v>
      </c>
    </row>
  </sheetData>
  <mergeCells count="11">
    <mergeCell ref="A1:K1"/>
    <mergeCell ref="A2:K2"/>
    <mergeCell ref="A35:C35"/>
    <mergeCell ref="A37:K37"/>
    <mergeCell ref="A38:B38"/>
    <mergeCell ref="A44:B44"/>
    <mergeCell ref="A39:B39"/>
    <mergeCell ref="A40:B40"/>
    <mergeCell ref="A41:B41"/>
    <mergeCell ref="A42:B42"/>
    <mergeCell ref="A43:B43"/>
  </mergeCells>
  <pageMargins left="0.3" right="0.3" top="0.4" bottom="0.7" header="0.511811023622047" footer="0.5"/>
  <pageSetup orientation="landscape" horizontalDpi="300" verticalDpi="300"/>
  <headerFooter>
    <oddFooter>&amp;LPrinted Name: _______________________________&amp;CDate: _______________&amp;RSignature: _______________________________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Reference Rates</vt:lpstr>
      <vt:lpstr>Aug 2026</vt:lpstr>
      <vt:lpstr>Sep 2026</vt:lpstr>
      <vt:lpstr>Oct 2026</vt:lpstr>
      <vt:lpstr>3-Month Summary</vt:lpstr>
      <vt:lpstr>'3-Month Summary'!Print_Area</vt:lpstr>
      <vt:lpstr>'Aug 2026'!Print_Area</vt:lpstr>
      <vt:lpstr>'Oct 2026'!Print_Area</vt:lpstr>
      <vt:lpstr>'Sep 2026'!Print_Area</vt:lpstr>
      <vt:lpstr>'Aug 2026'!Print_Titles</vt:lpstr>
      <vt:lpstr>'Oct 2026'!Print_Titles</vt:lpstr>
      <vt:lpstr>'Sep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Johnbel Maliñana</cp:lastModifiedBy>
  <cp:revision>0</cp:revision>
  <dcterms:created xsi:type="dcterms:W3CDTF">2026-10-26T02:37:43Z</dcterms:created>
  <dcterms:modified xsi:type="dcterms:W3CDTF">2026-10-28T15:15:13Z</dcterms:modified>
  <dc:language>en-US</dc:language>
</cp:coreProperties>
</file>